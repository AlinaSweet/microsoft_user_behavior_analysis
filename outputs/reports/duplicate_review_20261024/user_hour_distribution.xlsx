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67fd56b85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小时分布" sheetId="1" r:id="Rb32146aa2310497c"/>
    <x:sheet xmlns:r="http://schemas.openxmlformats.org/officeDocument/2006/relationships" name="精确次数分布" sheetId="2" r:id="Ra895433bb14343ce"/>
    <x:sheet xmlns:r="http://schemas.openxmlformats.org/officeDocument/2006/relationships" name="同项行为重复" sheetId="3" r:id="R31ca39bc46724047"/>
    <x:sheet xmlns:r="http://schemas.openxmlformats.org/officeDocument/2006/relationships" name="去重影响" sheetId="4" r:id="Re538d5811a384dc5"/>
    <x:sheet xmlns:r="http://schemas.openxmlformats.org/officeDocument/2006/relationships" name="高次数样本" sheetId="5" r:id="R9e00c9d60d0e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%"/>
    <x:numFmt numFmtId="202" formatCode="0.00"/>
    <x:numFmt numFmtId="203" formatCode="0.0000%"/>
    <x:numFmt numFmtId="204" formatCode="0.000"/>
    <x:numFmt numFmtId="205" formatCode="@"/>
    <x:numFmt numFmtId="206" formatCode="yyyy-mm-dd hh:mm"/>
  </x:numFmts>
  <x:fonts count="6">
    <x:font>
      <x:sz val="11"/>
      <x:name val="Carlito"/>
    </x:font>
    <x:font>
      <x:sz val="10"/>
      <x:color rgb="FF172B4D"/>
      <x:name val="Microsoft YaHei"/>
    </x:font>
    <x:font>
      <x:b/>
      <x:sz val="16"/>
      <x:color rgb="FF1D3A61"/>
      <x:name val="Microsoft YaHei"/>
    </x:font>
    <x:font>
      <x:b/>
      <x:sz val="10"/>
      <x:color rgb="FFFFFFFF"/>
      <x:name val="Microsoft YaHei"/>
    </x:font>
    <x:font>
      <x:sz val="10"/>
      <x:color rgb="FF526581"/>
      <x:name val="Microsoft YaHei"/>
    </x:font>
    <x:font>
      <x:b/>
      <x:sz val="10"/>
      <x:color rgb="FF172B4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D3A61"/>
      </x:patternFill>
    </x:fill>
    <x:fill>
      <x:patternFill patternType="solid">
        <x:fgColor rgb="FFDFEAF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FC1D3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0c8be85ca4f3c" /><Relationship Type="http://schemas.openxmlformats.org/officeDocument/2006/relationships/theme" Target="/xl/theme/theme1.xml" Id="R53f1cfe68c5a4cab" /><Relationship Type="http://schemas.openxmlformats.org/officeDocument/2006/relationships/sharedStrings" Target="/xl/sharedStrings.xml" Id="Rfb8facc5ba2748e0" /><Relationship Type="http://schemas.openxmlformats.org/officeDocument/2006/relationships/worksheet" Target="/xl/worksheets/sheet1.xml" Id="Rb32146aa2310497c" /><Relationship Type="http://schemas.openxmlformats.org/officeDocument/2006/relationships/worksheet" Target="/xl/worksheets/sheet2.xml" Id="Ra895433bb14343ce" /><Relationship Type="http://schemas.openxmlformats.org/officeDocument/2006/relationships/worksheet" Target="/xl/worksheets/sheet3.xml" Id="R31ca39bc46724047" /><Relationship Type="http://schemas.openxmlformats.org/officeDocument/2006/relationships/worksheet" Target="/xl/worksheets/sheet4.xml" Id="Re538d5811a384dc5" /><Relationship Type="http://schemas.openxmlformats.org/officeDocument/2006/relationships/worksheet" Target="/xl/worksheets/sheet5.xml" Id="R9e00c9d60d0e42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667f83292541b4" /><Relationship Type="http://schemas.openxmlformats.org/officeDocument/2006/relationships/chart" Target="/xl/drawings/charts/chart2.xml" Id="R1b0d23af0b284a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62d295a71104f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客户小时占比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客户小时占比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'客户小时分布'!$B$20:$B$31</c:f>
              <c:strCache>
                <c:ptCount val="0"/>
              </c:strCache>
            </c:strRef>
          </c:cat>
          <c:val>
            <c:numRef>
              <c:f>'客户小时分布'!$D$20:$D$31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各区间贡献的记录占比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记录占比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'客户小时分布'!$B$20:$B$31</c:f>
              <c:strCache>
                <c:ptCount val="0"/>
              </c:strCache>
            </c:strRef>
          </c:cat>
          <c:val>
            <c:numRef>
              <c:f>'客户小时分布'!$F$20:$F$31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四元组出现次数分布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组数占比</c:v>
          </c:tx>
          <c:spPr>
            <a:solidFill xmlns:a="http://schemas.openxmlformats.org/drawingml/2006/main">
              <a:srgbClr val="2563A6"/>
            </a:solidFill>
          </c:spPr>
          <c:invertIfNegative val="0"/>
          <c:cat>
            <c:strRef>
              <c:f>'同项行为重复'!$J$27:$J$48</c:f>
              <c:strCache>
                <c:ptCount val="0"/>
              </c:strCache>
            </c:strRef>
          </c:cat>
          <c:val>
            <c:numRef>
              <c:f>'同项行为重复'!$K$27:$K$48</c:f>
              <c:numCache>
                <c:formatCode>0.0000%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667f83292541b4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0d23af0b284a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2d295a71104f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inSummary" displayName="MainSummary" ref="B5:C13" headerRowCount="1" totalsRowCount="0" totalsRowShown="0">
  <x:tableColumns count="2">
    <x:tableColumn id="1" name="指标"/>
    <x:tableColumn id="2" name="数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Quantiles" displayName="MainQuantiles" ref="E5:F13" headerRowCount="1" totalsRowCount="0" totalsRowShown="0">
  <x:tableColumns count="2">
    <x:tableColumn id="1" name="分位点"/>
    <x:tableColumn id="2" name="记录数（条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nBins" displayName="MainBins" ref="B19:G31" headerRowCount="1" totalsRowCount="0" totalsRowShown="0">
  <x:tableColumns count="6">
    <x:tableColumn id="1" name="记录数区间"/>
    <x:tableColumn id="2" name="客户小时数"/>
    <x:tableColumn id="3" name="客户小时占比"/>
    <x:tableColumn id="4" name="区间记录数"/>
    <x:tableColumn id="5" name="记录占比"/>
    <x:tableColumn id="6" name="累计小时占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actFrequency" displayName="ExactFrequency" ref="B6:H869" headerRowCount="1" totalsRowCount="0" totalsRowShown="0">
  <x:tableColumns count="7">
    <x:tableColumn id="1" name="记录数 k"/>
    <x:tableColumn id="2" name="客户小时数"/>
    <x:tableColumn id="3" name="有记录小时占比"/>
    <x:tableColumn id="4" name="全时段小时槽占比"/>
    <x:tableColumn id="5" name="对应记录数"/>
    <x:tableColumn id="6" name="原始记录占比"/>
    <x:tableColumn id="7" name="累计有记录小时占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eySummary" displayName="KeySummary" ref="B6:C10" headerRowCount="1" totalsRowCount="0" totalsRowShown="0">
  <x:tableColumns count="2">
    <x:tableColumn id="1" name="指标"/>
    <x:tableColumn id="2" name="数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eyFrequency" displayName="KeyFrequency" ref="B14:H36" headerRowCount="1" totalsRowCount="0" totalsRowShown="0">
  <x:tableColumns count="7">
    <x:tableColumn id="1" name="出现次数 n"/>
    <x:tableColumn id="2" name="四元组组数"/>
    <x:tableColumn id="3" name="组数占比"/>
    <x:tableColumn id="4" name="对应原始记录数"/>
    <x:tableColumn id="5" name="记录占比"/>
    <x:tableColumn id="6" name="累计组数占比"/>
    <x:tableColumn id="7" name="超额记录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ehaviorImpact" displayName="BehaviorImpact" ref="B6:J10" headerRowCount="1" totalsRowCount="0" totalsRowShown="0">
  <x:tableColumns count="9">
    <x:tableColumn id="1" name="行为"/>
    <x:tableColumn id="2" name="原始记录数"/>
    <x:tableColumn id="3" name="四元组数"/>
    <x:tableColumn id="4" name="超额记录数"/>
    <x:tableColumn id="5" name="超额占本行为比例"/>
    <x:tableColumn id="6" name="重复组数"/>
    <x:tableColumn id="7" name="重复组占比"/>
    <x:tableColumn id="8" name="组最大出现次数"/>
    <x:tableColumn id="9" name="占全部超额记录比例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ourComposition" displayName="HourComposition" ref="B18:F22" headerRowCount="1" totalsRowCount="0" totalsRowShown="0">
  <x:tableColumns count="5">
    <x:tableColumn id="1" name="客户小时构成"/>
    <x:tableColumn id="2" name="客户小时数"/>
    <x:tableColumn id="3" name="小时占比"/>
    <x:tableColumn id="4" name="原始记录数"/>
    <x:tableColumn id="5" name="四元组超额记录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ourThresholds" displayName="HourThresholds" ref="B26:F37" headerRowCount="1" totalsRowCount="0" totalsRowShown="0">
  <x:tableColumns count="5">
    <x:tableColumn id="1" name="每小时记录数高于"/>
    <x:tableColumn id="2" name="客户小时数"/>
    <x:tableColumn id="3" name="小时占比"/>
    <x:tableColumn id="4" name="对应记录数"/>
    <x:tableColumn id="5" name="这些时段内超额记录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ehaviorMultiplicity" displayName="BehaviorMultiplicity" ref="B43:J65" headerRowCount="1" totalsRowCount="0" totalsRowShown="0">
  <x:tableColumns count="9">
    <x:tableColumn id="1" name="组内出现次数"/>
    <x:tableColumn id="2" name="浏览组数"/>
    <x:tableColumn id="3" name="浏览组内占比"/>
    <x:tableColumn id="4" name="收藏组数"/>
    <x:tableColumn id="5" name="收藏组内占比"/>
    <x:tableColumn id="6" name="加购组数"/>
    <x:tableColumn id="7" name="加购组内占比"/>
    <x:tableColumn id="8" name="购买组数"/>
    <x:tableColumn id="9" name="购买组内占比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ighHourSamples" displayName="HighHourSamples" ref="B6:L56" headerRowCount="1" totalsRowCount="0" totalsRowShown="0">
  <x:tableColumns count="11">
    <x:tableColumn id="1" name="客户ID"/>
    <x:tableColumn id="2" name="源小时"/>
    <x:tableColumn id="3" name="原始记录数"/>
    <x:tableColumn id="4" name="不同四元组数"/>
    <x:tableColumn id="5" name="超额记录数"/>
    <x:tableColumn id="6" name="超额占比"/>
    <x:tableColumn id="7" name="不同商品数"/>
    <x:tableColumn id="8" name="浏览记录"/>
    <x:tableColumn id="9" name="收藏记录"/>
    <x:tableColumn id="10" name="加购记录"/>
    <x:tableColumn id="11" name="购买记录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ighKeySamples" displayName="HighKeySamples" ref="B61:H111" headerRowCount="1" totalsRowCount="0" totalsRowShown="0">
  <x:tableColumns count="7">
    <x:tableColumn id="1" name="客户ID"/>
    <x:tableColumn id="2" name="源小时"/>
    <x:tableColumn id="3" name="商品ID"/>
    <x:tableColumn id="4" name="类目ID"/>
    <x:tableColumn id="5" name="行为"/>
    <x:tableColumn id="6" name="出现次数"/>
    <x:tableColumn id="7" name="首条源记录序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74273a61864f68" /><Relationship Type="http://schemas.openxmlformats.org/officeDocument/2006/relationships/table" Target="/xl/tables/table1.xml" Id="Rcd6c4046c2114f26" /><Relationship Type="http://schemas.openxmlformats.org/officeDocument/2006/relationships/table" Target="/xl/tables/table2.xml" Id="Rf4d81239fa4a4ca1" /><Relationship Type="http://schemas.openxmlformats.org/officeDocument/2006/relationships/table" Target="/xl/tables/table3.xml" Id="R22c7e206e1124f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d96332beff6d48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ec86b57d4914946" /><Relationship Type="http://schemas.openxmlformats.org/officeDocument/2006/relationships/table" Target="/xl/tables/table5.xml" Id="R34dcc09f1cdd4f96" /><Relationship Type="http://schemas.openxmlformats.org/officeDocument/2006/relationships/table" Target="/xl/tables/table6.xml" Id="R8a6dac81c2eb49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22f38da3eec24dc5" /><Relationship Type="http://schemas.openxmlformats.org/officeDocument/2006/relationships/table" Target="/xl/tables/table8.xml" Id="Rf051fcc3121542b3" /><Relationship Type="http://schemas.openxmlformats.org/officeDocument/2006/relationships/table" Target="/xl/tables/table9.xml" Id="R81b4573a363843a6" /><Relationship Type="http://schemas.openxmlformats.org/officeDocument/2006/relationships/table" Target="/xl/tables/table10.xml" Id="Rc5637e15576543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1.xml" Id="Rb9a034b06a5e4cf1" /><Relationship Type="http://schemas.openxmlformats.org/officeDocument/2006/relationships/table" Target="/xl/tables/table12.xml" Id="R83b9f2f1ea504bae" /></Relationships>
</file>

<file path=xl/worksheets/sheet1.xml><?xml version="1.0" encoding="utf-8"?>
<x:worksheet xmlns:x="http://schemas.openxmlformats.org/spreadsheetml/2006/main">
  <x:sheetPr>
    <x:tabColor rgb="FF1D3A61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3" t="str">
        <x:v>同一客户在同一小时内的记录数分布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9" customHeight="1">
      <x:c r="A5" s="2"/>
      <x:c r="B5" s="7" t="str">
        <x:v>指标</x:v>
      </x:c>
      <x:c r="C5" s="7" t="str">
        <x:v>数值</x:v>
      </x:c>
      <x:c r="D5" s="2"/>
      <x:c r="E5" s="7" t="str">
        <x:v>分位点</x:v>
      </x:c>
      <x:c r="F5" s="7" t="str">
        <x:v>记录数（条）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/>
      <x:c r="B6" s="2" t="str">
        <x:v>原始记录数</x:v>
      </x:c>
      <x:c r="C6" s="8" t="n">
        <x:v>12256906</x:v>
      </x:c>
      <x:c r="D6" s="2"/>
      <x:c r="E6" s="2" t="str">
        <x:v>P25</x:v>
      </x:c>
      <x:c r="F6" s="8" t="n">
        <x:v>3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 t="str">
        <x:v>客户数</x:v>
      </x:c>
      <x:c r="C7" s="8" t="n">
        <x:v>10000</x:v>
      </x:c>
      <x:c r="D7" s="2"/>
      <x:c r="E7" s="2" t="str">
        <x:v>中位数</x:v>
      </x:c>
      <x:c r="F7" s="8" t="n">
        <x:v>9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 t="str">
        <x:v>有记录的客户小时数</x:v>
      </x:c>
      <x:c r="C8" s="8" t="n">
        <x:v>682940</x:v>
      </x:c>
      <x:c r="D8" s="2"/>
      <x:c r="E8" s="2" t="str">
        <x:v>P75</x:v>
      </x:c>
      <x:c r="F8" s="8" t="n">
        <x:v>22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 t="str">
        <x:v>完整观测小时数</x:v>
      </x:c>
      <x:c r="C9" s="8" t="n">
        <x:v>744</x:v>
      </x:c>
      <x:c r="D9" s="2"/>
      <x:c r="E9" s="2" t="str">
        <x:v>P90</x:v>
      </x:c>
      <x:c r="F9" s="8" t="n">
        <x:v>45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 t="str">
        <x:v>所有已出现客户的小时槽</x:v>
      </x:c>
      <x:c r="C10" s="8" t="n">
        <x:v>7440000</x:v>
      </x:c>
      <x:c r="D10" s="2"/>
      <x:c r="E10" s="2" t="str">
        <x:v>P95</x:v>
      </x:c>
      <x:c r="F10" s="8" t="n">
        <x:v>65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 t="str">
        <x:v>无记录小时槽</x:v>
      </x:c>
      <x:c r="C11" s="8" t="n">
        <x:f>C10-C8</x:f>
        <x:v>6757060</x:v>
      </x:c>
      <x:c r="D11" s="2"/>
      <x:c r="E11" s="2" t="str">
        <x:v>P99</x:v>
      </x:c>
      <x:c r="F11" s="8" t="n">
        <x:v>118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 t="str">
        <x:v>无记录小时槽占比</x:v>
      </x:c>
      <x:c r="C12" s="9" t="n">
        <x:f>C11/C10</x:f>
        <x:v>0.9082069892473118</x:v>
      </x:c>
      <x:c r="D12" s="2"/>
      <x:c r="E12" s="2" t="str">
        <x:v>P99.9</x:v>
      </x:c>
      <x:c r="F12" s="8" t="n">
        <x:v>206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 t="str">
        <x:v>有记录小时的平均记录数</x:v>
      </x:c>
      <x:c r="C13" s="10" t="n">
        <x:f>C6/C8</x:f>
        <x:v>17.947266231294112</x:v>
      </x:c>
      <x:c r="D13" s="2"/>
      <x:c r="E13" s="2" t="str">
        <x:v>最大值</x:v>
      </x:c>
      <x:c r="F13" s="8" t="n">
        <x:v>862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11" t="str">
        <x:v>观测期：2025-11-18 00 至 2025-12-18 23；保留源小时，不转换时区。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11" t="str">
        <x:v>主分布单位是客户×小时，原始记录未去重；同一客户可在多个小时出现。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9" customHeight="1">
      <x:c r="A19" s="2"/>
      <x:c r="B19" s="7" t="str">
        <x:v>记录数区间</x:v>
      </x:c>
      <x:c r="C19" s="7" t="str">
        <x:v>客户小时数</x:v>
      </x:c>
      <x:c r="D19" s="7" t="str">
        <x:v>客户小时占比</x:v>
      </x:c>
      <x:c r="E19" s="7" t="str">
        <x:v>区间记录数</x:v>
      </x:c>
      <x:c r="F19" s="7" t="str">
        <x:v>记录占比</x:v>
      </x:c>
      <x:c r="G19" s="7" t="str">
        <x:v>累计小时占比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2" t="str">
        <x:v>1</x:v>
      </x:c>
      <x:c r="C20" s="8" t="n">
        <x:v>50564</x:v>
      </x:c>
      <x:c r="D20" s="9" t="n">
        <x:f>C20/$C$8</x:f>
        <x:v>0.0740387149676399</x:v>
      </x:c>
      <x:c r="E20" s="8" t="n">
        <x:v>50564</x:v>
      </x:c>
      <x:c r="F20" s="9" t="n">
        <x:f>E20/$C$6</x:f>
        <x:v>0.004125347783527099</x:v>
      </x:c>
      <x:c r="G20" s="9" t="n">
        <x:f>SUM($C$20:C20)/$C$8</x:f>
        <x:v>0.0740387149676399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2" t="str">
        <x:v>2</x:v>
      </x:c>
      <x:c r="C21" s="8" t="n">
        <x:v>76841</x:v>
      </x:c>
      <x:c r="D21" s="9" t="n">
        <x:f>C21/$C$8</x:f>
        <x:v>0.1125150086391191</x:v>
      </x:c>
      <x:c r="E21" s="8" t="n">
        <x:v>153682</x:v>
      </x:c>
      <x:c r="F21" s="9" t="n">
        <x:f>E21/$C$6</x:f>
        <x:v>0.012538400800332482</x:v>
      </x:c>
      <x:c r="G21" s="9" t="n">
        <x:f>SUM($C$20:C21)/$C$8</x:f>
        <x:v>0.186553723606759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2" t="str">
        <x:v>3</x:v>
      </x:c>
      <x:c r="C22" s="8" t="n">
        <x:v>44106</x:v>
      </x:c>
      <x:c r="D22" s="9" t="n">
        <x:f>C22/$C$8</x:f>
        <x:v>0.0645825401938677</x:v>
      </x:c>
      <x:c r="E22" s="8" t="n">
        <x:v>132318</x:v>
      </x:c>
      <x:c r="F22" s="9" t="n">
        <x:f>E22/$C$6</x:f>
        <x:v>0.010795383435264984</x:v>
      </x:c>
      <x:c r="G22" s="9" t="n">
        <x:f>SUM($C$20:C22)/$C$8</x:f>
        <x:v>0.2511362638006267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2" t="str">
        <x:v>4</x:v>
      </x:c>
      <x:c r="C23" s="8" t="n">
        <x:v>48177</x:v>
      </x:c>
      <x:c r="D23" s="9" t="n">
        <x:f>C23/$C$8</x:f>
        <x:v>0.07054353237473278</x:v>
      </x:c>
      <x:c r="E23" s="8" t="n">
        <x:v>192708</x:v>
      </x:c>
      <x:c r="F23" s="9" t="n">
        <x:f>E23/$C$6</x:f>
        <x:v>0.015722401721935373</x:v>
      </x:c>
      <x:c r="G23" s="9" t="n">
        <x:f>SUM($C$20:C23)/$C$8</x:f>
        <x:v>0.32167979617535947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2" t="str">
        <x:v>5</x:v>
      </x:c>
      <x:c r="C24" s="8" t="n">
        <x:v>31978</x:v>
      </x:c>
      <x:c r="D24" s="9" t="n">
        <x:f>C24/$C$8</x:f>
        <x:v>0.04682402553665036</x:v>
      </x:c>
      <x:c r="E24" s="8" t="n">
        <x:v>159890</x:v>
      </x:c>
      <x:c r="F24" s="9" t="n">
        <x:f>E24/$C$6</x:f>
        <x:v>0.013044890774229647</x:v>
      </x:c>
      <x:c r="G24" s="9" t="n">
        <x:f>SUM($C$20:C24)/$C$8</x:f>
        <x:v>0.36850382171200985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2" t="str">
        <x:v>6–10</x:v>
      </x:c>
      <x:c r="C25" s="8" t="n">
        <x:v>121673</x:v>
      </x:c>
      <x:c r="D25" s="9" t="n">
        <x:f>C25/$C$8</x:f>
        <x:v>0.1781605997598618</x:v>
      </x:c>
      <x:c r="E25" s="8" t="n">
        <x:v>943464</x:v>
      </x:c>
      <x:c r="F25" s="9" t="n">
        <x:f>E25/$C$6</x:f>
        <x:v>0.07697407486032772</x:v>
      </x:c>
      <x:c r="G25" s="9" t="n">
        <x:f>SUM($C$20:C25)/$C$8</x:f>
        <x:v>0.5466644214718717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2" t="str">
        <x:v>11–20</x:v>
      </x:c>
      <x:c r="C26" s="8" t="n">
        <x:v>124153</x:v>
      </x:c>
      <x:c r="D26" s="9" t="n">
        <x:f>C26/$C$8</x:f>
        <x:v>0.18179195829794711</x:v>
      </x:c>
      <x:c r="E26" s="8" t="n">
        <x:v>1849153</x:v>
      </x:c>
      <x:c r="F26" s="9" t="n">
        <x:f>E26/$C$6</x:f>
        <x:v>0.15086621370841874</x:v>
      </x:c>
      <x:c r="G26" s="9" t="n">
        <x:f>SUM($C$20:C26)/$C$8</x:f>
        <x:v>0.7284563797698187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2"/>
      <x:c r="B27" s="2" t="str">
        <x:v>21–50</x:v>
      </x:c>
      <x:c r="C27" s="8" t="n">
        <x:v>129031</x:v>
      </x:c>
      <x:c r="D27" s="9" t="n">
        <x:f>C27/$C$8</x:f>
        <x:v>0.18893460626116496</x:v>
      </x:c>
      <x:c r="E27" s="8" t="n">
        <x:v>4124517</x:v>
      </x:c>
      <x:c r="F27" s="9" t="n">
        <x:f>E27/$C$6</x:f>
        <x:v>0.33650555858060754</x:v>
      </x:c>
      <x:c r="G27" s="9" t="n">
        <x:f>SUM($C$20:C27)/$C$8</x:f>
        <x:v>0.9173909860309837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2"/>
      <x:c r="B28" s="2" t="str">
        <x:v>51–100</x:v>
      </x:c>
      <x:c r="C28" s="8" t="n">
        <x:v>44943</x:v>
      </x:c>
      <x:c r="D28" s="9" t="n">
        <x:f>C28/$C$8</x:f>
        <x:v>0.0658081237004715</x:v>
      </x:c>
      <x:c r="E28" s="8" t="n">
        <x:v>3071357</x:v>
      </x:c>
      <x:c r="F28" s="9" t="n">
        <x:f>E28/$C$6</x:f>
        <x:v>0.2505817536660557</x:v>
      </x:c>
      <x:c r="G28" s="9" t="n">
        <x:f>SUM($C$20:C28)/$C$8</x:f>
        <x:v>0.9831991097314552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 t="str">
        <x:v>101–200</x:v>
      </x:c>
      <x:c r="C29" s="8" t="n">
        <x:v>10694</x:v>
      </x:c>
      <x:c r="D29" s="9" t="n">
        <x:f>C29/$C$8</x:f>
        <x:v>0.015658769438017982</x:v>
      </x:c>
      <x:c r="E29" s="8" t="n">
        <x:v>1381528</x:v>
      </x:c>
      <x:c r="F29" s="9" t="n">
        <x:f>E29/$C$6</x:f>
        <x:v>0.1127142526833444</x:v>
      </x:c>
      <x:c r="G29" s="9" t="n">
        <x:f>SUM($C$20:C29)/$C$8</x:f>
        <x:v>0.9988578791694731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/>
      <x:c r="B30" s="2" t="str">
        <x:v>201–500</x:v>
      </x:c>
      <x:c r="C30" s="8" t="n">
        <x:v>771</x:v>
      </x:c>
      <x:c r="D30" s="9" t="n">
        <x:f>C30/$C$8</x:f>
        <x:v>0.0011289425132515302</x:v>
      </x:c>
      <x:c r="E30" s="8" t="n">
        <x:v>192378</x:v>
      </x:c>
      <x:c r="F30" s="9" t="n">
        <x:f>E30/$C$6</x:f>
        <x:v>0.015695478124740453</x:v>
      </x:c>
      <x:c r="G30" s="12" t="n">
        <x:f>SUM($C$20:C30)/$C$8</x:f>
        <x:v>0.9999868216827247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/>
      <x:c r="B31" s="2" t="str">
        <x:v>501–1,000</x:v>
      </x:c>
      <x:c r="C31" s="8" t="n">
        <x:v>9</x:v>
      </x:c>
      <x:c r="D31" s="12" t="n">
        <x:f>C31/$C$8</x:f>
        <x:v>0.000013178317275309691</x:v>
      </x:c>
      <x:c r="E31" s="8" t="n">
        <x:v>5347</x:v>
      </x:c>
      <x:c r="F31" s="9" t="n">
        <x:f>E31/$C$6</x:f>
        <x:v>0.0004362438612158729</x:v>
      </x:c>
      <x:c r="G31" s="9" t="n">
        <x:f>SUM($C$20:C31)/$C$8</x:f>
        <x:v>1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16" t="str">
        <x:v>合计</x:v>
      </x:c>
      <x:c r="C32" s="17" t="n">
        <x:f>SUM(C20:C31)</x:f>
        <x:v>682940</x:v>
      </x:c>
      <x:c r="D32" s="18" t="n">
        <x:f>SUM(D20:D31)</x:f>
        <x:v>1.0000000000000002</x:v>
      </x:c>
      <x:c r="E32" s="17" t="n">
        <x:f>SUM(E20:E31)</x:f>
        <x:v>12256906</x:v>
      </x:c>
      <x:c r="F32" s="18" t="n">
        <x:f>SUM(F20:F31)</x:f>
        <x:v>1</x:v>
      </x:c>
      <x:c r="G32" s="16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11" t="str">
        <x:v>阅读要点：21–50 条的时段占 18.89%，贡献 33.65% 的记录。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/>
      <x:c r="B37" s="11" t="str">
        <x:v>次数高包含不同商品和不同类型的行为，不能据此删除整小时。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11" t="str">
        <x:v>零值统计：全部已出现客户×完整观测窗。无记录不等于已确认未操作。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/>
      <x:c r="B42" s="11" t="str">
        <x:v>源文件：用户提供的 user_behavior.csv，全量统计。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2" customHeight="1">
      <x:c r="A44" s="2"/>
      <x:c r="B44" s="11" t="str">
        <x:v>SHA-256：64c1436d3f984f813c12c730950d61cdc1892e8dbbb54e102911b182c2690072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/>
      <x:c r="B46" s="11" t="str">
        <x:v>统计前后源指纹一致；直接按原始记录聚合与按四元组再汇总的频数表一致。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/>
      <x:c r="B48" s="11" t="str">
        <x:v>分位数采用最近秩法：累计频率首次达到给定比例的整数记录数。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11" t="str">
        <x:v>“精确次数分布”列出每个整数次数；“同项行为重复”用于进一步讨论去重。</x:v>
      </x:c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</x:sheetData>
  <x:pageMargins left="0.7" right="0.7" top="0.75" bottom="0.75" header="0.3" footer="0.3"/>
  <x:drawing xmlns:r="http://schemas.openxmlformats.org/officeDocument/2006/relationships" r:id="Rf974273a61864f68"/>
  <x:tableParts count="3">
    <x:tablePart xmlns:r="http://schemas.openxmlformats.org/officeDocument/2006/relationships" r:id="Rcd6c4046c2114f26"/>
    <x:tablePart xmlns:r="http://schemas.openxmlformats.org/officeDocument/2006/relationships" r:id="Rf4d81239fa4a4ca1"/>
    <x:tablePart xmlns:r="http://schemas.openxmlformats.org/officeDocument/2006/relationships" r:id="R22c7e206e1124f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2"/>
      <x:c r="B2" s="3" t="str">
        <x:v>客户小时记录数的精确频数分布</x:v>
      </x:c>
      <x:c r="C2" s="2"/>
      <x:c r="D2" s="2"/>
      <x:c r="E2" s="2"/>
      <x:c r="F2" s="2"/>
      <x:c r="G2" s="2"/>
      <x:c r="H2" s="2"/>
    </x:row>
    <x:row r="3" ht="22" customHeight="1">
      <x:c r="A3" s="2"/>
      <x:c r="B3" s="4"/>
      <x:c r="C3" s="4"/>
      <x:c r="D3" s="4"/>
      <x:c r="E3" s="4"/>
      <x:c r="F3" s="4"/>
      <x:c r="G3" s="4"/>
      <x:c r="H3" s="4"/>
    </x:row>
    <x:row r="4" ht="22" customHeight="1">
      <x:c r="A4" s="2"/>
      <x:c r="B4" s="11" t="str">
        <x:v>0 表示观测窗内无记录；其余为有记录客户小时。原始记录数未去重。</x:v>
      </x:c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9" customHeight="1">
      <x:c r="A6" s="2"/>
      <x:c r="B6" s="7" t="str">
        <x:v>记录数 k</x:v>
      </x:c>
      <x:c r="C6" s="7" t="str">
        <x:v>客户小时数</x:v>
      </x:c>
      <x:c r="D6" s="7" t="str">
        <x:v>有记录小时占比</x:v>
      </x:c>
      <x:c r="E6" s="7" t="str">
        <x:v>全时段小时槽占比</x:v>
      </x:c>
      <x:c r="F6" s="7" t="str">
        <x:v>对应记录数</x:v>
      </x:c>
      <x:c r="G6" s="7" t="str">
        <x:v>原始记录占比</x:v>
      </x:c>
      <x:c r="H6" s="7" t="str">
        <x:v>累计有记录小时占比</x:v>
      </x:c>
    </x:row>
    <x:row r="7" ht="22" customHeight="1">
      <x:c r="A7" s="2"/>
      <x:c r="B7" s="8" t="n">
        <x:v>0</x:v>
      </x:c>
      <x:c r="C7" s="8" t="n">
        <x:v>6757060</x:v>
      </x:c>
      <x:c r="D7" s="12"/>
      <x:c r="E7" s="12" t="n">
        <x:f>C7/'客户小时分布'!$C$10</x:f>
        <x:v>0.9082069892473118</x:v>
      </x:c>
      <x:c r="F7" s="8" t="n">
        <x:f>B7*C7</x:f>
        <x:v>0</x:v>
      </x:c>
      <x:c r="G7" s="12" t="n">
        <x:f>F7/'客户小时分布'!$C$6</x:f>
        <x:v>0</x:v>
      </x:c>
      <x:c r="H7" s="12"/>
    </x:row>
    <x:row r="8" ht="22" customHeight="1">
      <x:c r="A8" s="2"/>
      <x:c r="B8" s="8" t="n">
        <x:v>1</x:v>
      </x:c>
      <x:c r="C8" s="8" t="n">
        <x:v>50564</x:v>
      </x:c>
      <x:c r="D8" s="12" t="n">
        <x:f>C8/'客户小时分布'!$C$8</x:f>
        <x:v>0.0740387149676399</x:v>
      </x:c>
      <x:c r="E8" s="12" t="n">
        <x:f>C8/'客户小时分布'!$C$10</x:f>
        <x:v>0.006796236559139785</x:v>
      </x:c>
      <x:c r="F8" s="8" t="n">
        <x:f>B8*C8</x:f>
        <x:v>50564</x:v>
      </x:c>
      <x:c r="G8" s="12" t="n">
        <x:f>F8/'客户小时分布'!$C$6</x:f>
        <x:v>0.004125347783527099</x:v>
      </x:c>
      <x:c r="H8" s="12" t="n">
        <x:f>SUM($C$8:C8)/'客户小时分布'!$C$8</x:f>
        <x:v>0.0740387149676399</x:v>
      </x:c>
    </x:row>
    <x:row r="9" ht="22" customHeight="1">
      <x:c r="A9" s="2"/>
      <x:c r="B9" s="8" t="n">
        <x:v>2</x:v>
      </x:c>
      <x:c r="C9" s="8" t="n">
        <x:v>76841</x:v>
      </x:c>
      <x:c r="D9" s="12" t="n">
        <x:f>C9/'客户小时分布'!$C$8</x:f>
        <x:v>0.1125150086391191</x:v>
      </x:c>
      <x:c r="E9" s="12" t="n">
        <x:f>C9/'客户小时分布'!$C$10</x:f>
        <x:v>0.010328091397849463</x:v>
      </x:c>
      <x:c r="F9" s="8" t="n">
        <x:f>B9*C9</x:f>
        <x:v>153682</x:v>
      </x:c>
      <x:c r="G9" s="12" t="n">
        <x:f>F9/'客户小时分布'!$C$6</x:f>
        <x:v>0.012538400800332482</x:v>
      </x:c>
      <x:c r="H9" s="12" t="n">
        <x:f>SUM($C$8:C9)/'客户小时分布'!$C$8</x:f>
        <x:v>0.186553723606759</x:v>
      </x:c>
    </x:row>
    <x:row r="10" ht="22" customHeight="1">
      <x:c r="A10" s="2"/>
      <x:c r="B10" s="8" t="n">
        <x:v>3</x:v>
      </x:c>
      <x:c r="C10" s="8" t="n">
        <x:v>44106</x:v>
      </x:c>
      <x:c r="D10" s="12" t="n">
        <x:f>C10/'客户小时分布'!$C$8</x:f>
        <x:v>0.0645825401938677</x:v>
      </x:c>
      <x:c r="E10" s="12" t="n">
        <x:f>C10/'客户小时分布'!$C$10</x:f>
        <x:v>0.005928225806451613</x:v>
      </x:c>
      <x:c r="F10" s="8" t="n">
        <x:f>B10*C10</x:f>
        <x:v>132318</x:v>
      </x:c>
      <x:c r="G10" s="12" t="n">
        <x:f>F10/'客户小时分布'!$C$6</x:f>
        <x:v>0.010795383435264984</x:v>
      </x:c>
      <x:c r="H10" s="12" t="n">
        <x:f>SUM($C$8:C10)/'客户小时分布'!$C$8</x:f>
        <x:v>0.2511362638006267</x:v>
      </x:c>
    </x:row>
    <x:row r="11" ht="22" customHeight="1">
      <x:c r="A11" s="2"/>
      <x:c r="B11" s="8" t="n">
        <x:v>4</x:v>
      </x:c>
      <x:c r="C11" s="8" t="n">
        <x:v>48177</x:v>
      </x:c>
      <x:c r="D11" s="12" t="n">
        <x:f>C11/'客户小时分布'!$C$8</x:f>
        <x:v>0.07054353237473278</x:v>
      </x:c>
      <x:c r="E11" s="12" t="n">
        <x:f>C11/'客户小时分布'!$C$10</x:f>
        <x:v>0.006475403225806452</x:v>
      </x:c>
      <x:c r="F11" s="8" t="n">
        <x:f>B11*C11</x:f>
        <x:v>192708</x:v>
      </x:c>
      <x:c r="G11" s="12" t="n">
        <x:f>F11/'客户小时分布'!$C$6</x:f>
        <x:v>0.015722401721935373</x:v>
      </x:c>
      <x:c r="H11" s="12" t="n">
        <x:f>SUM($C$8:C11)/'客户小时分布'!$C$8</x:f>
        <x:v>0.32167979617535947</x:v>
      </x:c>
    </x:row>
    <x:row r="12" ht="22" customHeight="1">
      <x:c r="A12" s="2"/>
      <x:c r="B12" s="8" t="n">
        <x:v>5</x:v>
      </x:c>
      <x:c r="C12" s="8" t="n">
        <x:v>31978</x:v>
      </x:c>
      <x:c r="D12" s="12" t="n">
        <x:f>C12/'客户小时分布'!$C$8</x:f>
        <x:v>0.04682402553665036</x:v>
      </x:c>
      <x:c r="E12" s="12" t="n">
        <x:f>C12/'客户小时分布'!$C$10</x:f>
        <x:v>0.0042981182795698925</x:v>
      </x:c>
      <x:c r="F12" s="8" t="n">
        <x:f>B12*C12</x:f>
        <x:v>159890</x:v>
      </x:c>
      <x:c r="G12" s="12" t="n">
        <x:f>F12/'客户小时分布'!$C$6</x:f>
        <x:v>0.013044890774229647</x:v>
      </x:c>
      <x:c r="H12" s="12" t="n">
        <x:f>SUM($C$8:C12)/'客户小时分布'!$C$8</x:f>
        <x:v>0.36850382171200985</x:v>
      </x:c>
    </x:row>
    <x:row r="13" ht="22" customHeight="1">
      <x:c r="A13" s="2"/>
      <x:c r="B13" s="8" t="n">
        <x:v>6</x:v>
      </x:c>
      <x:c r="C13" s="8" t="n">
        <x:v>32509</x:v>
      </x:c>
      <x:c r="D13" s="12" t="n">
        <x:f>C13/'客户小时分布'!$C$8</x:f>
        <x:v>0.047601546255893634</x:v>
      </x:c>
      <x:c r="E13" s="12" t="n">
        <x:f>C13/'客户小时分布'!$C$10</x:f>
        <x:v>0.004369489247311828</x:v>
      </x:c>
      <x:c r="F13" s="8" t="n">
        <x:f>B13*C13</x:f>
        <x:v>195054</x:v>
      </x:c>
      <x:c r="G13" s="12" t="n">
        <x:f>F13/'客户小时分布'!$C$6</x:f>
        <x:v>0.015913804021993806</x:v>
      </x:c>
      <x:c r="H13" s="12" t="n">
        <x:f>SUM($C$8:C13)/'客户小时分布'!$C$8</x:f>
        <x:v>0.4161053679679035</x:v>
      </x:c>
    </x:row>
    <x:row r="14" ht="22" customHeight="1">
      <x:c r="A14" s="2"/>
      <x:c r="B14" s="8" t="n">
        <x:v>7</x:v>
      </x:c>
      <x:c r="C14" s="8" t="n">
        <x:v>24588</x:v>
      </x:c>
      <x:c r="D14" s="12" t="n">
        <x:f>C14/'客户小时分布'!$C$8</x:f>
        <x:v>0.03600316279614607</x:v>
      </x:c>
      <x:c r="E14" s="12" t="n">
        <x:f>C14/'客户小时分布'!$C$10</x:f>
        <x:v>0.0033048387096774193</x:v>
      </x:c>
      <x:c r="F14" s="8" t="n">
        <x:f>B14*C14</x:f>
        <x:v>172116</x:v>
      </x:c>
      <x:c r="G14" s="12" t="n">
        <x:f>F14/'客户小时分布'!$C$6</x:f>
        <x:v>0.014042369256972356</x:v>
      </x:c>
      <x:c r="H14" s="12" t="n">
        <x:f>SUM($C$8:C14)/'客户小时分布'!$C$8</x:f>
        <x:v>0.45210853076404955</x:v>
      </x:c>
    </x:row>
    <x:row r="15" ht="22" customHeight="1">
      <x:c r="A15" s="2"/>
      <x:c r="B15" s="8" t="n">
        <x:v>8</x:v>
      </x:c>
      <x:c r="C15" s="8" t="n">
        <x:v>24578</x:v>
      </x:c>
      <x:c r="D15" s="12" t="n">
        <x:f>C15/'客户小时分布'!$C$8</x:f>
        <x:v>0.03598852022139573</x:v>
      </x:c>
      <x:c r="E15" s="12" t="n">
        <x:f>C15/'客户小时分布'!$C$10</x:f>
        <x:v>0.003303494623655914</x:v>
      </x:c>
      <x:c r="F15" s="8" t="n">
        <x:f>B15*C15</x:f>
        <x:v>196624</x:v>
      </x:c>
      <x:c r="G15" s="12" t="n">
        <x:f>F15/'客户小时分布'!$C$6</x:f>
        <x:v>0.01604189507531509</x:v>
      </x:c>
      <x:c r="H15" s="12" t="n">
        <x:f>SUM($C$8:C15)/'客户小时分布'!$C$8</x:f>
        <x:v>0.48809705098544526</x:v>
      </x:c>
    </x:row>
    <x:row r="16" ht="22" customHeight="1">
      <x:c r="A16" s="2"/>
      <x:c r="B16" s="8" t="n">
        <x:v>9</x:v>
      </x:c>
      <x:c r="C16" s="8" t="n">
        <x:v>20310</x:v>
      </x:c>
      <x:c r="D16" s="12" t="n">
        <x:f>C16/'客户小时分布'!$C$8</x:f>
        <x:v>0.02973906931794887</x:v>
      </x:c>
      <x:c r="E16" s="12" t="n">
        <x:f>C16/'客户小时分布'!$C$10</x:f>
        <x:v>0.0027298387096774193</x:v>
      </x:c>
      <x:c r="F16" s="8" t="n">
        <x:f>B16*C16</x:f>
        <x:v>182790</x:v>
      </x:c>
      <x:c r="G16" s="12" t="n">
        <x:f>F16/'客户小时分布'!$C$6</x:f>
        <x:v>0.014913225246240773</x:v>
      </x:c>
      <x:c r="H16" s="12" t="n">
        <x:f>SUM($C$8:C16)/'客户小时分布'!$C$8</x:f>
        <x:v>0.5178361203033941</x:v>
      </x:c>
    </x:row>
    <x:row r="17" ht="22" customHeight="1">
      <x:c r="A17" s="2"/>
      <x:c r="B17" s="8" t="n">
        <x:v>10</x:v>
      </x:c>
      <x:c r="C17" s="8" t="n">
        <x:v>19688</x:v>
      </x:c>
      <x:c r="D17" s="12" t="n">
        <x:f>C17/'客户小时分布'!$C$8</x:f>
        <x:v>0.028828301168477465</x:v>
      </x:c>
      <x:c r="E17" s="12" t="n">
        <x:f>C17/'客户小时分布'!$C$10</x:f>
        <x:v>0.002646236559139785</x:v>
      </x:c>
      <x:c r="F17" s="8" t="n">
        <x:f>B17*C17</x:f>
        <x:v>196880</x:v>
      </x:c>
      <x:c r="G17" s="12" t="n">
        <x:f>F17/'客户小时分布'!$C$6</x:f>
        <x:v>0.016062781259805696</x:v>
      </x:c>
      <x:c r="H17" s="12" t="n">
        <x:f>SUM($C$8:C17)/'客户小时分布'!$C$8</x:f>
        <x:v>0.5466644214718717</x:v>
      </x:c>
    </x:row>
    <x:row r="18" ht="22" customHeight="1">
      <x:c r="A18" s="2"/>
      <x:c r="B18" s="8" t="n">
        <x:v>11</x:v>
      </x:c>
      <x:c r="C18" s="8" t="n">
        <x:v>16902</x:v>
      </x:c>
      <x:c r="D18" s="12" t="n">
        <x:f>C18/'客户小时分布'!$C$8</x:f>
        <x:v>0.024748879843031597</x:v>
      </x:c>
      <x:c r="E18" s="12" t="n">
        <x:f>C18/'客户小时分布'!$C$10</x:f>
        <x:v>0.0022717741935483872</x:v>
      </x:c>
      <x:c r="F18" s="8" t="n">
        <x:f>B18*C18</x:f>
        <x:v>185922</x:v>
      </x:c>
      <x:c r="G18" s="12" t="n">
        <x:f>F18/'客户小时分布'!$C$6</x:f>
        <x:v>0.015168754659618014</x:v>
      </x:c>
      <x:c r="H18" s="12" t="n">
        <x:f>SUM($C$8:C18)/'客户小时分布'!$C$8</x:f>
        <x:v>0.5714133013149032</x:v>
      </x:c>
    </x:row>
    <x:row r="19" ht="22" customHeight="1">
      <x:c r="A19" s="2"/>
      <x:c r="B19" s="8" t="n">
        <x:v>12</x:v>
      </x:c>
      <x:c r="C19" s="8" t="n">
        <x:v>16173</x:v>
      </x:c>
      <x:c r="D19" s="12" t="n">
        <x:f>C19/'客户小时分布'!$C$8</x:f>
        <x:v>0.023681436143731513</x:v>
      </x:c>
      <x:c r="E19" s="12" t="n">
        <x:f>C19/'客户小时分布'!$C$10</x:f>
        <x:v>0.002173790322580645</x:v>
      </x:c>
      <x:c r="F19" s="8" t="n">
        <x:f>B19*C19</x:f>
        <x:v>194076</x:v>
      </x:c>
      <x:c r="G19" s="12" t="n">
        <x:f>F19/'客户小时分布'!$C$6</x:f>
        <x:v>0.015834012270307042</x:v>
      </x:c>
      <x:c r="H19" s="12" t="n">
        <x:f>SUM($C$8:C19)/'客户小时分布'!$C$8</x:f>
        <x:v>0.5950947374586347</x:v>
      </x:c>
    </x:row>
    <x:row r="20" ht="22" customHeight="1">
      <x:c r="A20" s="2"/>
      <x:c r="B20" s="8" t="n">
        <x:v>13</x:v>
      </x:c>
      <x:c r="C20" s="8" t="n">
        <x:v>14336</x:v>
      </x:c>
      <x:c r="D20" s="12" t="n">
        <x:f>C20/'客户小时分布'!$C$8</x:f>
        <x:v>0.020991595162093302</x:v>
      </x:c>
      <x:c r="E20" s="12" t="n">
        <x:f>C20/'客户小时分布'!$C$10</x:f>
        <x:v>0.0019268817204301076</x:v>
      </x:c>
      <x:c r="F20" s="8" t="n">
        <x:f>B20*C20</x:f>
        <x:v>186368</x:v>
      </x:c>
      <x:c r="G20" s="12" t="n">
        <x:f>F20/'客户小时分布'!$C$6</x:f>
        <x:v>0.01520514230916024</x:v>
      </x:c>
      <x:c r="H20" s="12" t="n">
        <x:f>SUM($C$8:C20)/'客户小时分布'!$C$8</x:f>
        <x:v>0.616086332620728</x:v>
      </x:c>
    </x:row>
    <x:row r="21" ht="22" customHeight="1">
      <x:c r="A21" s="2"/>
      <x:c r="B21" s="8" t="n">
        <x:v>14</x:v>
      </x:c>
      <x:c r="C21" s="8" t="n">
        <x:v>13764</x:v>
      </x:c>
      <x:c r="D21" s="12" t="n">
        <x:f>C21/'客户小时分布'!$C$8</x:f>
        <x:v>0.02015403988637362</x:v>
      </x:c>
      <x:c r="E21" s="12" t="n">
        <x:f>C21/'客户小时分布'!$C$10</x:f>
        <x:v>0.00185</x:v>
      </x:c>
      <x:c r="F21" s="8" t="n">
        <x:f>B21*C21</x:f>
        <x:v>192696</x:v>
      </x:c>
      <x:c r="G21" s="12" t="n">
        <x:f>F21/'客户小时分布'!$C$6</x:f>
        <x:v>0.015721422682037377</x:v>
      </x:c>
      <x:c r="H21" s="12" t="n">
        <x:f>SUM($C$8:C21)/'客户小时分布'!$C$8</x:f>
        <x:v>0.6362403725071016</x:v>
      </x:c>
    </x:row>
    <x:row r="22" ht="22" customHeight="1">
      <x:c r="A22" s="2"/>
      <x:c r="B22" s="8" t="n">
        <x:v>15</x:v>
      </x:c>
      <x:c r="C22" s="8" t="n">
        <x:v>12091</x:v>
      </x:c>
      <x:c r="D22" s="12" t="n">
        <x:f>C22/'客户小时分布'!$C$8</x:f>
        <x:v>0.01770433713064105</x:v>
      </x:c>
      <x:c r="E22" s="12" t="n">
        <x:f>C22/'客户小时分布'!$C$10</x:f>
        <x:v>0.0016251344086021505</x:v>
      </x:c>
      <x:c r="F22" s="8" t="n">
        <x:f>B22*C22</x:f>
        <x:v>181365</x:v>
      </x:c>
      <x:c r="G22" s="12" t="n">
        <x:f>F22/'客户小时分布'!$C$6</x:f>
        <x:v>0.014796964258353617</x:v>
      </x:c>
      <x:c r="H22" s="12" t="n">
        <x:f>SUM($C$8:C22)/'客户小时分布'!$C$8</x:f>
        <x:v>0.6539447096377426</x:v>
      </x:c>
    </x:row>
    <x:row r="23" ht="22" customHeight="1">
      <x:c r="A23" s="2"/>
      <x:c r="B23" s="8" t="n">
        <x:v>16</x:v>
      </x:c>
      <x:c r="C23" s="8" t="n">
        <x:v>11776</x:v>
      </x:c>
      <x:c r="D23" s="12" t="n">
        <x:f>C23/'客户小时分布'!$C$8</x:f>
        <x:v>0.01724309602600521</x:v>
      </x:c>
      <x:c r="E23" s="12" t="n">
        <x:f>C23/'客户小时分布'!$C$10</x:f>
        <x:v>0.0015827956989247311</x:v>
      </x:c>
      <x:c r="F23" s="8" t="n">
        <x:f>B23*C23</x:f>
        <x:v>188416</x:v>
      </x:c>
      <x:c r="G23" s="12" t="n">
        <x:f>F23/'客户小时分布'!$C$6</x:f>
        <x:v>0.015372231785085077</x:v>
      </x:c>
      <x:c r="H23" s="12" t="n">
        <x:f>SUM($C$8:C23)/'客户小时分布'!$C$8</x:f>
        <x:v>0.6711878056637479</x:v>
      </x:c>
    </x:row>
    <x:row r="24" ht="22" customHeight="1">
      <x:c r="A24" s="2"/>
      <x:c r="B24" s="8" t="n">
        <x:v>17</x:v>
      </x:c>
      <x:c r="C24" s="8" t="n">
        <x:v>10722</x:v>
      </x:c>
      <x:c r="D24" s="12" t="n">
        <x:f>C24/'客户小时分布'!$C$8</x:f>
        <x:v>0.015699768647318944</x:v>
      </x:c>
      <x:c r="E24" s="12" t="n">
        <x:f>C24/'客户小时分布'!$C$10</x:f>
        <x:v>0.0014411290322580645</x:v>
      </x:c>
      <x:c r="F24" s="8" t="n">
        <x:f>B24*C24</x:f>
        <x:v>182274</x:v>
      </x:c>
      <x:c r="G24" s="12" t="n">
        <x:f>F24/'客户小时分布'!$C$6</x:f>
        <x:v>0.014871126530626897</x:v>
      </x:c>
      <x:c r="H24" s="12" t="n">
        <x:f>SUM($C$8:C24)/'客户小时分布'!$C$8</x:f>
        <x:v>0.6868875743110668</x:v>
      </x:c>
    </x:row>
    <x:row r="25" ht="22" customHeight="1">
      <x:c r="A25" s="2"/>
      <x:c r="B25" s="8" t="n">
        <x:v>18</x:v>
      </x:c>
      <x:c r="C25" s="8" t="n">
        <x:v>10243</x:v>
      </x:c>
      <x:c r="D25" s="12" t="n">
        <x:f>C25/'客户小时分布'!$C$8</x:f>
        <x:v>0.014998389316777463</x:v>
      </x:c>
      <x:c r="E25" s="12" t="n">
        <x:f>C25/'客户小时分布'!$C$10</x:f>
        <x:v>0.001376747311827957</x:v>
      </x:c>
      <x:c r="F25" s="8" t="n">
        <x:f>B25*C25</x:f>
        <x:v>184374</x:v>
      </x:c>
      <x:c r="G25" s="12" t="n">
        <x:f>F25/'客户小时分布'!$C$6</x:f>
        <x:v>0.015042458512776389</x:v>
      </x:c>
      <x:c r="H25" s="12" t="n">
        <x:f>SUM($C$8:C25)/'客户小时分布'!$C$8</x:f>
        <x:v>0.7018859636278443</x:v>
      </x:c>
    </x:row>
    <x:row r="26" ht="22" customHeight="1">
      <x:c r="A26" s="2"/>
      <x:c r="B26" s="8" t="n">
        <x:v>19</x:v>
      </x:c>
      <x:c r="C26" s="8" t="n">
        <x:v>9258</x:v>
      </x:c>
      <x:c r="D26" s="12" t="n">
        <x:f>C26/'客户小时分布'!$C$8</x:f>
        <x:v>0.013556095703868568</x:v>
      </x:c>
      <x:c r="E26" s="12" t="n">
        <x:f>C26/'客户小时分布'!$C$10</x:f>
        <x:v>0.0012443548387096775</x:v>
      </x:c>
      <x:c r="F26" s="8" t="n">
        <x:f>B26*C26</x:f>
        <x:v>175902</x:v>
      </x:c>
      <x:c r="G26" s="12" t="n">
        <x:f>F26/'客户小时分布'!$C$6</x:f>
        <x:v>0.014351256344790439</x:v>
      </x:c>
      <x:c r="H26" s="12" t="n">
        <x:f>SUM($C$8:C26)/'客户小时分布'!$C$8</x:f>
        <x:v>0.7154420593317129</x:v>
      </x:c>
    </x:row>
    <x:row r="27" ht="22" customHeight="1">
      <x:c r="A27" s="2"/>
      <x:c r="B27" s="8" t="n">
        <x:v>20</x:v>
      </x:c>
      <x:c r="C27" s="8" t="n">
        <x:v>8888</x:v>
      </x:c>
      <x:c r="D27" s="12" t="n">
        <x:f>C27/'客户小时分布'!$C$8</x:f>
        <x:v>0.013014320438105836</x:v>
      </x:c>
      <x:c r="E27" s="12" t="n">
        <x:f>C27/'客户小时分布'!$C$10</x:f>
        <x:v>0.0011946236559139784</x:v>
      </x:c>
      <x:c r="F27" s="8" t="n">
        <x:f>B27*C27</x:f>
        <x:v>177760</x:v>
      </x:c>
      <x:c r="G27" s="12" t="n">
        <x:f>F27/'客户小时分布'!$C$6</x:f>
        <x:v>0.014502844355663656</x:v>
      </x:c>
      <x:c r="H27" s="12" t="n">
        <x:f>SUM($C$8:C27)/'客户小时分布'!$C$8</x:f>
        <x:v>0.7284563797698187</x:v>
      </x:c>
    </x:row>
    <x:row r="28" ht="22" customHeight="1">
      <x:c r="A28" s="2"/>
      <x:c r="B28" s="8" t="n">
        <x:v>21</x:v>
      </x:c>
      <x:c r="C28" s="8" t="n">
        <x:v>8291</x:v>
      </x:c>
      <x:c r="D28" s="12" t="n">
        <x:f>C28/'客户小时分布'!$C$8</x:f>
        <x:v>0.012140158725510294</x:v>
      </x:c>
      <x:c r="E28" s="12" t="n">
        <x:f>C28/'客户小时分布'!$C$10</x:f>
        <x:v>0.0011143817204301075</x:v>
      </x:c>
      <x:c r="F28" s="8" t="n">
        <x:f>B28*C28</x:f>
        <x:v>174111</x:v>
      </x:c>
      <x:c r="G28" s="12" t="n">
        <x:f>F28/'客户小时分布'!$C$6</x:f>
        <x:v>0.014205134640014373</x:v>
      </x:c>
      <x:c r="H28" s="12" t="n">
        <x:f>SUM($C$8:C28)/'客户小时分布'!$C$8</x:f>
        <x:v>0.740596538495329</x:v>
      </x:c>
    </x:row>
    <x:row r="29" ht="22" customHeight="1">
      <x:c r="A29" s="2"/>
      <x:c r="B29" s="8" t="n">
        <x:v>22</x:v>
      </x:c>
      <x:c r="C29" s="8" t="n">
        <x:v>7909</x:v>
      </x:c>
      <x:c r="D29" s="12" t="n">
        <x:f>C29/'客户小时分布'!$C$8</x:f>
        <x:v>0.011580812370047149</x:v>
      </x:c>
      <x:c r="E29" s="12" t="n">
        <x:f>C29/'客户小时分布'!$C$10</x:f>
        <x:v>0.0010630376344086022</x:v>
      </x:c>
      <x:c r="F29" s="8" t="n">
        <x:f>B29*C29</x:f>
        <x:v>173998</x:v>
      </x:c>
      <x:c r="G29" s="12" t="n">
        <x:f>F29/'客户小时分布'!$C$6</x:f>
        <x:v>0.014195915347641566</x:v>
      </x:c>
      <x:c r="H29" s="12" t="n">
        <x:f>SUM($C$8:C29)/'客户小时分布'!$C$8</x:f>
        <x:v>0.7521773508653762</x:v>
      </x:c>
    </x:row>
    <x:row r="30" ht="22" customHeight="1">
      <x:c r="A30" s="2"/>
      <x:c r="B30" s="8" t="n">
        <x:v>23</x:v>
      </x:c>
      <x:c r="C30" s="8" t="n">
        <x:v>7223</x:v>
      </x:c>
      <x:c r="D30" s="12" t="n">
        <x:f>C30/'客户小时分布'!$C$8</x:f>
        <x:v>0.010576331742173544</x:v>
      </x:c>
      <x:c r="E30" s="12" t="n">
        <x:f>C30/'客户小时分布'!$C$10</x:f>
        <x:v>0.0009708333333333333</x:v>
      </x:c>
      <x:c r="F30" s="8" t="n">
        <x:f>B30*C30</x:f>
        <x:v>166129</x:v>
      </x:c>
      <x:c r="G30" s="12" t="n">
        <x:f>F30/'客户小时分布'!$C$6</x:f>
        <x:v>0.01355390993452997</x:v>
      </x:c>
      <x:c r="H30" s="12" t="n">
        <x:f>SUM($C$8:C30)/'客户小时分布'!$C$8</x:f>
        <x:v>0.7627536826075497</x:v>
      </x:c>
    </x:row>
    <x:row r="31" ht="22" customHeight="1">
      <x:c r="A31" s="2"/>
      <x:c r="B31" s="8" t="n">
        <x:v>24</x:v>
      </x:c>
      <x:c r="C31" s="8" t="n">
        <x:v>6960</x:v>
      </x:c>
      <x:c r="D31" s="12" t="n">
        <x:f>C31/'客户小时分布'!$C$8</x:f>
        <x:v>0.010191232026239495</x:v>
      </x:c>
      <x:c r="E31" s="12" t="n">
        <x:f>C31/'客户小时分布'!$C$10</x:f>
        <x:v>0.0009354838709677419</x:v>
      </x:c>
      <x:c r="F31" s="8" t="n">
        <x:f>B31*C31</x:f>
        <x:v>167040</x:v>
      </x:c>
      <x:c r="G31" s="12" t="n">
        <x:f>F31/'客户小时分布'!$C$6</x:f>
        <x:v>0.013628235380119582</x:v>
      </x:c>
      <x:c r="H31" s="12" t="n">
        <x:f>SUM($C$8:C31)/'客户小时分布'!$C$8</x:f>
        <x:v>0.7729449146337892</x:v>
      </x:c>
    </x:row>
    <x:row r="32" ht="22" customHeight="1">
      <x:c r="A32" s="2"/>
      <x:c r="B32" s="8" t="n">
        <x:v>25</x:v>
      </x:c>
      <x:c r="C32" s="8" t="n">
        <x:v>6620</x:v>
      </x:c>
      <x:c r="D32" s="12" t="n">
        <x:f>C32/'客户小时分布'!$C$8</x:f>
        <x:v>0.009693384484727794</x:v>
      </x:c>
      <x:c r="E32" s="12" t="n">
        <x:f>C32/'客户小时分布'!$C$10</x:f>
        <x:v>0.0008897849462365592</x:v>
      </x:c>
      <x:c r="F32" s="8" t="n">
        <x:f>B32*C32</x:f>
        <x:v>165500</x:v>
      </x:c>
      <x:c r="G32" s="12" t="n">
        <x:f>F32/'客户小时分布'!$C$6</x:f>
        <x:v>0.01350259192654329</x:v>
      </x:c>
      <x:c r="H32" s="12" t="n">
        <x:f>SUM($C$8:C32)/'客户小时分布'!$C$8</x:f>
        <x:v>0.782638299118517</x:v>
      </x:c>
    </x:row>
    <x:row r="33" ht="22" customHeight="1">
      <x:c r="A33" s="2"/>
      <x:c r="B33" s="8" t="n">
        <x:v>26</x:v>
      </x:c>
      <x:c r="C33" s="8" t="n">
        <x:v>6185</x:v>
      </x:c>
      <x:c r="D33" s="12" t="n">
        <x:f>C33/'客户小时分布'!$C$8</x:f>
        <x:v>0.009056432483087826</x:v>
      </x:c>
      <x:c r="E33" s="12" t="n">
        <x:f>C33/'客户小时分布'!$C$10</x:f>
        <x:v>0.0008313172043010752</x:v>
      </x:c>
      <x:c r="F33" s="8" t="n">
        <x:f>B33*C33</x:f>
        <x:v>160810</x:v>
      </x:c>
      <x:c r="G33" s="12" t="n">
        <x:f>F33/'客户小时分布'!$C$6</x:f>
        <x:v>0.013119950499742758</x:v>
      </x:c>
      <x:c r="H33" s="12" t="n">
        <x:f>SUM($C$8:C33)/'客户小时分布'!$C$8</x:f>
        <x:v>0.7916947316016049</x:v>
      </x:c>
    </x:row>
    <x:row r="34" ht="22" customHeight="1">
      <x:c r="A34" s="2"/>
      <x:c r="B34" s="8" t="n">
        <x:v>27</x:v>
      </x:c>
      <x:c r="C34" s="8" t="n">
        <x:v>5894</x:v>
      </x:c>
      <x:c r="D34" s="12" t="n">
        <x:f>C34/'客户小时分布'!$C$8</x:f>
        <x:v>0.008630333557852813</x:v>
      </x:c>
      <x:c r="E34" s="12" t="n">
        <x:f>C34/'客户小时分布'!$C$10</x:f>
        <x:v>0.0007922043010752688</x:v>
      </x:c>
      <x:c r="F34" s="8" t="n">
        <x:f>B34*C34</x:f>
        <x:v>159138</x:v>
      </x:c>
      <x:c r="G34" s="12" t="n">
        <x:f>F34/'客户小时分布'!$C$6</x:f>
        <x:v>0.012983537607288495</x:v>
      </x:c>
      <x:c r="H34" s="12" t="n">
        <x:f>SUM($C$8:C34)/'客户小时分布'!$C$8</x:f>
        <x:v>0.8003250651594577</x:v>
      </x:c>
    </x:row>
    <x:row r="35" ht="22" customHeight="1">
      <x:c r="A35" s="2"/>
      <x:c r="B35" s="8" t="n">
        <x:v>28</x:v>
      </x:c>
      <x:c r="C35" s="8" t="n">
        <x:v>5567</x:v>
      </x:c>
      <x:c r="D35" s="12" t="n">
        <x:f>C35/'客户小时分布'!$C$8</x:f>
        <x:v>0.00815152136351656</x:v>
      </x:c>
      <x:c r="E35" s="12" t="n">
        <x:f>C35/'客户小时分布'!$C$10</x:f>
        <x:v>0.000748252688172043</x:v>
      </x:c>
      <x:c r="F35" s="8" t="n">
        <x:f>B35*C35</x:f>
        <x:v>155876</x:v>
      </x:c>
      <x:c r="G35" s="12" t="n">
        <x:f>F35/'客户小时分布'!$C$6</x:f>
        <x:v>0.012717401928349617</x:v>
      </x:c>
      <x:c r="H35" s="12" t="n">
        <x:f>SUM($C$8:C35)/'客户小时分布'!$C$8</x:f>
        <x:v>0.8084765865229742</x:v>
      </x:c>
    </x:row>
    <x:row r="36" ht="22" customHeight="1">
      <x:c r="A36" s="2"/>
      <x:c r="B36" s="8" t="n">
        <x:v>29</x:v>
      </x:c>
      <x:c r="C36" s="8" t="n">
        <x:v>5305</x:v>
      </x:c>
      <x:c r="D36" s="12" t="n">
        <x:f>C36/'客户小时分布'!$C$8</x:f>
        <x:v>0.007767885905057545</x:v>
      </x:c>
      <x:c r="E36" s="12" t="n">
        <x:f>C36/'客户小时分布'!$C$10</x:f>
        <x:v>0.0007130376344086022</x:v>
      </x:c>
      <x:c r="F36" s="8" t="n">
        <x:f>B36*C36</x:f>
        <x:v>153845</x:v>
      </x:c>
      <x:c r="G36" s="12" t="n">
        <x:f>F36/'客户小时分布'!$C$6</x:f>
        <x:v>0.01255169942561361</x:v>
      </x:c>
      <x:c r="H36" s="12" t="n">
        <x:f>SUM($C$8:C36)/'客户小时分布'!$C$8</x:f>
        <x:v>0.8162444724280318</x:v>
      </x:c>
    </x:row>
    <x:row r="37" ht="22" customHeight="1">
      <x:c r="A37" s="2"/>
      <x:c r="B37" s="8" t="n">
        <x:v>30</x:v>
      </x:c>
      <x:c r="C37" s="8" t="n">
        <x:v>5132</x:v>
      </x:c>
      <x:c r="D37" s="12" t="n">
        <x:f>C37/'客户小时分布'!$C$8</x:f>
        <x:v>0.0075145693618765925</x:v>
      </x:c>
      <x:c r="E37" s="12" t="n">
        <x:f>C37/'客户小时分布'!$C$10</x:f>
        <x:v>0.0006897849462365591</x:v>
      </x:c>
      <x:c r="F37" s="8" t="n">
        <x:f>B37*C37</x:f>
        <x:v>153960</x:v>
      </x:c>
      <x:c r="G37" s="12" t="n">
        <x:f>F37/'客户小时分布'!$C$6</x:f>
        <x:v>0.012561081891302749</x:v>
      </x:c>
      <x:c r="H37" s="12" t="n">
        <x:f>SUM($C$8:C37)/'客户小时分布'!$C$8</x:f>
        <x:v>0.8237590417899083</x:v>
      </x:c>
    </x:row>
    <x:row r="38" ht="22" customHeight="1">
      <x:c r="A38" s="2"/>
      <x:c r="B38" s="8" t="n">
        <x:v>31</x:v>
      </x:c>
      <x:c r="C38" s="8" t="n">
        <x:v>4789</x:v>
      </x:c>
      <x:c r="D38" s="12" t="n">
        <x:f>C38/'客户小时分布'!$C$8</x:f>
        <x:v>0.00701232904793979</x:v>
      </x:c>
      <x:c r="E38" s="12" t="n">
        <x:f>C38/'客户小时分布'!$C$10</x:f>
        <x:v>0.0006436827956989247</x:v>
      </x:c>
      <x:c r="F38" s="8" t="n">
        <x:f>B38*C38</x:f>
        <x:v>148459</x:v>
      </x:c>
      <x:c r="G38" s="12" t="n">
        <x:f>F38/'客户小时分布'!$C$6</x:f>
        <x:v>0.012112273684729245</x:v>
      </x:c>
      <x:c r="H38" s="12" t="n">
        <x:f>SUM($C$8:C38)/'客户小时分布'!$C$8</x:f>
        <x:v>0.8307713708378481</x:v>
      </x:c>
    </x:row>
    <x:row r="39" ht="22" customHeight="1">
      <x:c r="A39" s="2"/>
      <x:c r="B39" s="8" t="n">
        <x:v>32</x:v>
      </x:c>
      <x:c r="C39" s="8" t="n">
        <x:v>4621</x:v>
      </x:c>
      <x:c r="D39" s="12" t="n">
        <x:f>C39/'客户小时分布'!$C$8</x:f>
        <x:v>0.006766333792134009</x:v>
      </x:c>
      <x:c r="E39" s="12" t="n">
        <x:f>C39/'客户小时分布'!$C$10</x:f>
        <x:v>0.0006211021505376344</x:v>
      </x:c>
      <x:c r="F39" s="8" t="n">
        <x:f>B39*C39</x:f>
        <x:v>147872</x:v>
      </x:c>
      <x:c r="G39" s="12" t="n">
        <x:f>F39/'客户小时分布'!$C$6</x:f>
        <x:v>0.012064382316385555</x:v>
      </x:c>
      <x:c r="H39" s="12" t="n">
        <x:f>SUM($C$8:C39)/'客户小时分布'!$C$8</x:f>
        <x:v>0.8375377046299821</x:v>
      </x:c>
    </x:row>
    <x:row r="40" ht="22" customHeight="1">
      <x:c r="A40" s="2"/>
      <x:c r="B40" s="8" t="n">
        <x:v>33</x:v>
      </x:c>
      <x:c r="C40" s="8" t="n">
        <x:v>4350</x:v>
      </x:c>
      <x:c r="D40" s="12" t="n">
        <x:f>C40/'客户小时分布'!$C$8</x:f>
        <x:v>0.006369520016399684</x:v>
      </x:c>
      <x:c r="E40" s="12" t="n">
        <x:f>C40/'客户小时分布'!$C$10</x:f>
        <x:v>0.0005846774193548387</x:v>
      </x:c>
      <x:c r="F40" s="8" t="n">
        <x:f>B40*C40</x:f>
        <x:v>143550</x:v>
      </x:c>
      <x:c r="G40" s="12" t="n">
        <x:f>F40/'客户小时分布'!$C$6</x:f>
        <x:v>0.011711764779790267</x:v>
      </x:c>
      <x:c r="H40" s="12" t="n">
        <x:f>SUM($C$8:C40)/'客户小时分布'!$C$8</x:f>
        <x:v>0.8439072246463818</x:v>
      </x:c>
    </x:row>
    <x:row r="41" ht="22" customHeight="1">
      <x:c r="A41" s="2"/>
      <x:c r="B41" s="8" t="n">
        <x:v>34</x:v>
      </x:c>
      <x:c r="C41" s="8" t="n">
        <x:v>4220</x:v>
      </x:c>
      <x:c r="D41" s="12" t="n">
        <x:f>C41/'客户小时分布'!$C$8</x:f>
        <x:v>0.006179166544645211</x:v>
      </x:c>
      <x:c r="E41" s="12" t="n">
        <x:f>C41/'客户小时分布'!$C$10</x:f>
        <x:v>0.0005672043010752689</x:v>
      </x:c>
      <x:c r="F41" s="8" t="n">
        <x:f>B41*C41</x:f>
        <x:v>143480</x:v>
      </x:c>
      <x:c r="G41" s="12" t="n">
        <x:f>F41/'客户小时分布'!$C$6</x:f>
        <x:v>0.011706053713718616</x:v>
      </x:c>
      <x:c r="H41" s="12" t="n">
        <x:f>SUM($C$8:C41)/'客户小时分布'!$C$8</x:f>
        <x:v>0.850086391191027</x:v>
      </x:c>
    </x:row>
    <x:row r="42" ht="22" customHeight="1">
      <x:c r="A42" s="2"/>
      <x:c r="B42" s="8" t="n">
        <x:v>35</x:v>
      </x:c>
      <x:c r="C42" s="8" t="n">
        <x:v>3921</x:v>
      </x:c>
      <x:c r="D42" s="12" t="n">
        <x:f>C42/'客户小时分布'!$C$8</x:f>
        <x:v>0.005741353559609922</x:v>
      </x:c>
      <x:c r="E42" s="12" t="n">
        <x:f>C42/'客户小时分布'!$C$10</x:f>
        <x:v>0.000527016129032258</x:v>
      </x:c>
      <x:c r="F42" s="8" t="n">
        <x:f>B42*C42</x:f>
        <x:v>137235</x:v>
      </x:c>
      <x:c r="G42" s="12" t="n">
        <x:f>F42/'客户小时分布'!$C$6</x:f>
        <x:v>0.011196545033469295</x:v>
      </x:c>
      <x:c r="H42" s="12" t="n">
        <x:f>SUM($C$8:C42)/'客户小时分布'!$C$8</x:f>
        <x:v>0.8558277447506369</x:v>
      </x:c>
    </x:row>
    <x:row r="43" ht="22" customHeight="1">
      <x:c r="A43" s="2"/>
      <x:c r="B43" s="8" t="n">
        <x:v>36</x:v>
      </x:c>
      <x:c r="C43" s="8" t="n">
        <x:v>3769</x:v>
      </x:c>
      <x:c r="D43" s="12" t="n">
        <x:f>C43/'客户小时分布'!$C$8</x:f>
        <x:v>0.005518786423404692</x:v>
      </x:c>
      <x:c r="E43" s="12" t="n">
        <x:f>C43/'客户小时分布'!$C$10</x:f>
        <x:v>0.0005065860215053763</x:v>
      </x:c>
      <x:c r="F43" s="8" t="n">
        <x:f>B43*C43</x:f>
        <x:v>135684</x:v>
      </x:c>
      <x:c r="G43" s="12" t="n">
        <x:f>F43/'客户小时分布'!$C$6</x:f>
        <x:v>0.01107000412665317</x:v>
      </x:c>
      <x:c r="H43" s="12" t="n">
        <x:f>SUM($C$8:C43)/'客户小时分布'!$C$8</x:f>
        <x:v>0.8613465311740417</x:v>
      </x:c>
    </x:row>
    <x:row r="44" ht="22" customHeight="1">
      <x:c r="A44" s="2"/>
      <x:c r="B44" s="8" t="n">
        <x:v>37</x:v>
      </x:c>
      <x:c r="C44" s="8" t="n">
        <x:v>3579</x:v>
      </x:c>
      <x:c r="D44" s="12" t="n">
        <x:f>C44/'客户小时分布'!$C$8</x:f>
        <x:v>0.005240577503148154</x:v>
      </x:c>
      <x:c r="E44" s="12" t="n">
        <x:f>C44/'客户小时分布'!$C$10</x:f>
        <x:v>0.0004810483870967742</x:v>
      </x:c>
      <x:c r="F44" s="8" t="n">
        <x:f>B44*C44</x:f>
        <x:v>132423</x:v>
      </x:c>
      <x:c r="G44" s="12" t="n">
        <x:f>F44/'客户小时分布'!$C$6</x:f>
        <x:v>0.01080395003437246</x:v>
      </x:c>
      <x:c r="H44" s="12" t="n">
        <x:f>SUM($C$8:C44)/'客户小时分布'!$C$8</x:f>
        <x:v>0.8665871086771898</x:v>
      </x:c>
    </x:row>
    <x:row r="45" ht="22" customHeight="1">
      <x:c r="A45" s="2"/>
      <x:c r="B45" s="8" t="n">
        <x:v>38</x:v>
      </x:c>
      <x:c r="C45" s="8" t="n">
        <x:v>3391</x:v>
      </x:c>
      <x:c r="D45" s="12" t="n">
        <x:f>C45/'客户小时分布'!$C$8</x:f>
        <x:v>0.004965297097841685</x:v>
      </x:c>
      <x:c r="E45" s="12" t="n">
        <x:f>C45/'客户小时分布'!$C$10</x:f>
        <x:v>0.0004557795698924731</x:v>
      </x:c>
      <x:c r="F45" s="8" t="n">
        <x:f>B45*C45</x:f>
        <x:v>128858</x:v>
      </x:c>
      <x:c r="G45" s="12" t="n">
        <x:f>F45/'客户小时分布'!$C$6</x:f>
        <x:v>0.010513093598009155</x:v>
      </x:c>
      <x:c r="H45" s="12" t="n">
        <x:f>SUM($C$8:C45)/'客户小时分布'!$C$8</x:f>
        <x:v>0.8715524057750315</x:v>
      </x:c>
    </x:row>
    <x:row r="46" ht="22" customHeight="1">
      <x:c r="A46" s="2"/>
      <x:c r="B46" s="8" t="n">
        <x:v>39</x:v>
      </x:c>
      <x:c r="C46" s="8" t="n">
        <x:v>3269</x:v>
      </x:c>
      <x:c r="D46" s="12" t="n">
        <x:f>C46/'客户小时分布'!$C$8</x:f>
        <x:v>0.004786657685887486</x:v>
      </x:c>
      <x:c r="E46" s="12" t="n">
        <x:f>C46/'客户小时分布'!$C$10</x:f>
        <x:v>0.0004393817204301075</x:v>
      </x:c>
      <x:c r="F46" s="8" t="n">
        <x:f>B46*C46</x:f>
        <x:v>127491</x:v>
      </x:c>
      <x:c r="G46" s="12" t="n">
        <x:f>F46/'客户小时分布'!$C$6</x:f>
        <x:v>0.010401564636295652</x:v>
      </x:c>
      <x:c r="H46" s="12" t="n">
        <x:f>SUM($C$8:C46)/'客户小时分布'!$C$8</x:f>
        <x:v>0.8763390634609189</x:v>
      </x:c>
    </x:row>
    <x:row r="47" ht="22" customHeight="1">
      <x:c r="A47" s="2"/>
      <x:c r="B47" s="8" t="n">
        <x:v>40</x:v>
      </x:c>
      <x:c r="C47" s="8" t="n">
        <x:v>3146</x:v>
      </x:c>
      <x:c r="D47" s="12" t="n">
        <x:f>C47/'客户小时分布'!$C$8</x:f>
        <x:v>0.004606554016458254</x:v>
      </x:c>
      <x:c r="E47" s="12" t="n">
        <x:f>C47/'客户小时分布'!$C$10</x:f>
        <x:v>0.0004228494623655914</x:v>
      </x:c>
      <x:c r="F47" s="8" t="n">
        <x:f>B47*C47</x:f>
        <x:v>125840</x:v>
      </x:c>
      <x:c r="G47" s="12" t="n">
        <x:f>F47/'客户小时分布'!$C$6</x:f>
        <x:v>0.010266865063662886</x:v>
      </x:c>
      <x:c r="H47" s="12" t="n">
        <x:f>SUM($C$8:C47)/'客户小时分布'!$C$8</x:f>
        <x:v>0.8809456174773772</x:v>
      </x:c>
    </x:row>
    <x:row r="48" ht="22" customHeight="1">
      <x:c r="A48" s="2"/>
      <x:c r="B48" s="8" t="n">
        <x:v>41</x:v>
      </x:c>
      <x:c r="C48" s="8" t="n">
        <x:v>3034</x:v>
      </x:c>
      <x:c r="D48" s="12" t="n">
        <x:f>C48/'客户小时分布'!$C$8</x:f>
        <x:v>0.0044425571792544</x:v>
      </x:c>
      <x:c r="E48" s="12" t="n">
        <x:f>C48/'客户小时分布'!$C$10</x:f>
        <x:v>0.0004077956989247312</x:v>
      </x:c>
      <x:c r="F48" s="8" t="n">
        <x:f>B48*C48</x:f>
        <x:v>124394</x:v>
      </x:c>
      <x:c r="G48" s="12" t="n">
        <x:f>F48/'客户小时分布'!$C$6</x:f>
        <x:v>0.010148890755954236</x:v>
      </x:c>
      <x:c r="H48" s="12" t="n">
        <x:f>SUM($C$8:C48)/'客户小时分布'!$C$8</x:f>
        <x:v>0.8853881746566317</x:v>
      </x:c>
    </x:row>
    <x:row r="49" ht="22" customHeight="1">
      <x:c r="A49" s="2"/>
      <x:c r="B49" s="8" t="n">
        <x:v>42</x:v>
      </x:c>
      <x:c r="C49" s="8" t="n">
        <x:v>2850</x:v>
      </x:c>
      <x:c r="D49" s="12" t="n">
        <x:f>C49/'客户小时分布'!$C$8</x:f>
        <x:v>0.004173133803848069</x:v>
      </x:c>
      <x:c r="E49" s="12" t="n">
        <x:f>C49/'客户小时分布'!$C$10</x:f>
        <x:v>0.00038306451612903227</x:v>
      </x:c>
      <x:c r="F49" s="8" t="n">
        <x:f>B49*C49</x:f>
        <x:v>119700</x:v>
      </x:c>
      <x:c r="G49" s="12" t="n">
        <x:f>F49/'客户小时分布'!$C$6</x:f>
        <x:v>0.009765922982521038</x:v>
      </x:c>
      <x:c r="H49" s="12" t="n">
        <x:f>SUM($C$8:C49)/'客户小时分布'!$C$8</x:f>
        <x:v>0.8895613084604796</x:v>
      </x:c>
    </x:row>
    <x:row r="50" ht="22" customHeight="1">
      <x:c r="A50" s="2"/>
      <x:c r="B50" s="8" t="n">
        <x:v>43</x:v>
      </x:c>
      <x:c r="C50" s="8" t="n">
        <x:v>2822</x:v>
      </x:c>
      <x:c r="D50" s="12" t="n">
        <x:f>C50/'客户小时分布'!$C$8</x:f>
        <x:v>0.004132134594547105</x:v>
      </x:c>
      <x:c r="E50" s="12" t="n">
        <x:f>C50/'客户小时分布'!$C$10</x:f>
        <x:v>0.0003793010752688172</x:v>
      </x:c>
      <x:c r="F50" s="8" t="n">
        <x:f>B50*C50</x:f>
        <x:v>121346</x:v>
      </x:c>
      <x:c r="G50" s="12" t="n">
        <x:f>F50/'客户小时分布'!$C$6</x:f>
        <x:v>0.009900214621862972</x:v>
      </x:c>
      <x:c r="H50" s="12" t="n">
        <x:f>SUM($C$8:C50)/'客户小时分布'!$C$8</x:f>
        <x:v>0.8936934430550268</x:v>
      </x:c>
    </x:row>
    <x:row r="51" ht="22" customHeight="1">
      <x:c r="A51" s="2"/>
      <x:c r="B51" s="8" t="n">
        <x:v>44</x:v>
      </x:c>
      <x:c r="C51" s="8" t="n">
        <x:v>2655</x:v>
      </x:c>
      <x:c r="D51" s="12" t="n">
        <x:f>C51/'客户小时分布'!$C$8</x:f>
        <x:v>0.0038876035962163587</x:v>
      </x:c>
      <x:c r="E51" s="12" t="n">
        <x:f>C51/'客户小时分布'!$C$10</x:f>
        <x:v>0.00035685483870967743</x:v>
      </x:c>
      <x:c r="F51" s="8" t="n">
        <x:f>B51*C51</x:f>
        <x:v>116820</x:v>
      </x:c>
      <x:c r="G51" s="12" t="n">
        <x:f>F51/'客户小时分布'!$C$6</x:f>
        <x:v>0.009530953407001734</x:v>
      </x:c>
      <x:c r="H51" s="12" t="n">
        <x:f>SUM($C$8:C51)/'客户小时分布'!$C$8</x:f>
        <x:v>0.8975810466512432</x:v>
      </x:c>
    </x:row>
    <x:row r="52" ht="22" customHeight="1">
      <x:c r="A52" s="2"/>
      <x:c r="B52" s="8" t="n">
        <x:v>45</x:v>
      </x:c>
      <x:c r="C52" s="8" t="n">
        <x:v>2490</x:v>
      </x:c>
      <x:c r="D52" s="12" t="n">
        <x:f>C52/'客户小时分布'!$C$8</x:f>
        <x:v>0.003646001112835681</x:v>
      </x:c>
      <x:c r="E52" s="12" t="n">
        <x:f>C52/'客户小时分布'!$C$10</x:f>
        <x:v>0.0003346774193548387</x:v>
      </x:c>
      <x:c r="F52" s="8" t="n">
        <x:f>B52*C52</x:f>
        <x:v>112050</x:v>
      </x:c>
      <x:c r="G52" s="12" t="n">
        <x:f>F52/'客户小时分布'!$C$6</x:f>
        <x:v>0.009141785047547889</x:v>
      </x:c>
      <x:c r="H52" s="12" t="n">
        <x:f>SUM($C$8:C52)/'客户小时分布'!$C$8</x:f>
        <x:v>0.9012270477640788</x:v>
      </x:c>
    </x:row>
    <x:row r="53" ht="22" customHeight="1">
      <x:c r="A53" s="2"/>
      <x:c r="B53" s="8" t="n">
        <x:v>46</x:v>
      </x:c>
      <x:c r="C53" s="8" t="n">
        <x:v>2410</x:v>
      </x:c>
      <x:c r="D53" s="12" t="n">
        <x:f>C53/'客户小时分布'!$C$8</x:f>
        <x:v>0.003528860514832928</x:v>
      </x:c>
      <x:c r="E53" s="12" t="n">
        <x:f>C53/'客户小时分布'!$C$10</x:f>
        <x:v>0.0003239247311827957</x:v>
      </x:c>
      <x:c r="F53" s="8" t="n">
        <x:f>B53*C53</x:f>
        <x:v>110860</x:v>
      </x:c>
      <x:c r="G53" s="12" t="n">
        <x:f>F53/'客户小时分布'!$C$6</x:f>
        <x:v>0.009044696924329843</x:v>
      </x:c>
      <x:c r="H53" s="12" t="n">
        <x:f>SUM($C$8:C53)/'客户小时分布'!$C$8</x:f>
        <x:v>0.9047559082789117</x:v>
      </x:c>
    </x:row>
    <x:row r="54" ht="22" customHeight="1">
      <x:c r="A54" s="2"/>
      <x:c r="B54" s="8" t="n">
        <x:v>47</x:v>
      </x:c>
      <x:c r="C54" s="8" t="n">
        <x:v>2329</x:v>
      </x:c>
      <x:c r="D54" s="12" t="n">
        <x:f>C54/'客户小时分布'!$C$8</x:f>
        <x:v>0.003410255659355141</x:v>
      </x:c>
      <x:c r="E54" s="12" t="n">
        <x:f>C54/'客户小时分布'!$C$10</x:f>
        <x:v>0.00031303763440860215</x:v>
      </x:c>
      <x:c r="F54" s="8" t="n">
        <x:f>B54*C54</x:f>
        <x:v>109463</x:v>
      </x:c>
      <x:c r="G54" s="12" t="n">
        <x:f>F54/'客户小时分布'!$C$6</x:f>
        <x:v>0.008930720362871347</x:v>
      </x:c>
      <x:c r="H54" s="12" t="n">
        <x:f>SUM($C$8:C54)/'客户小时分布'!$C$8</x:f>
        <x:v>0.9081661639382669</x:v>
      </x:c>
    </x:row>
    <x:row r="55" ht="22" customHeight="1">
      <x:c r="A55" s="2"/>
      <x:c r="B55" s="8" t="n">
        <x:v>48</x:v>
      </x:c>
      <x:c r="C55" s="8" t="n">
        <x:v>2174</x:v>
      </x:c>
      <x:c r="D55" s="12" t="n">
        <x:f>C55/'客户小时分布'!$C$8</x:f>
        <x:v>0.0031832957507248075</x:v>
      </x:c>
      <x:c r="E55" s="12" t="n">
        <x:f>C55/'客户小时分布'!$C$10</x:f>
        <x:v>0.00029220430107526884</x:v>
      </x:c>
      <x:c r="F55" s="8" t="n">
        <x:f>B55*C55</x:f>
        <x:v>104352</x:v>
      </x:c>
      <x:c r="G55" s="12" t="n">
        <x:f>F55/'客户小时分布'!$C$6</x:f>
        <x:v>0.00851373095298275</x:v>
      </x:c>
      <x:c r="H55" s="12" t="n">
        <x:f>SUM($C$8:C55)/'客户小时分布'!$C$8</x:f>
        <x:v>0.9113494596889917</x:v>
      </x:c>
    </x:row>
    <x:row r="56" ht="22" customHeight="1">
      <x:c r="A56" s="2"/>
      <x:c r="B56" s="8" t="n">
        <x:v>49</x:v>
      </x:c>
      <x:c r="C56" s="8" t="n">
        <x:v>2067</x:v>
      </x:c>
      <x:c r="D56" s="12" t="n">
        <x:f>C56/'客户小时分布'!$C$8</x:f>
        <x:v>0.0030266202008961255</x:v>
      </x:c>
      <x:c r="E56" s="12" t="n">
        <x:f>C56/'客户小时分布'!$C$10</x:f>
        <x:v>0.0002778225806451613</x:v>
      </x:c>
      <x:c r="F56" s="8" t="n">
        <x:f>B56*C56</x:f>
        <x:v>101283</x:v>
      </x:c>
      <x:c r="G56" s="12" t="n">
        <x:f>F56/'客户小时分布'!$C$6</x:f>
        <x:v>0.008263341499069994</x:v>
      </x:c>
      <x:c r="H56" s="12" t="n">
        <x:f>SUM($C$8:C56)/'客户小时分布'!$C$8</x:f>
        <x:v>0.9143760798898878</x:v>
      </x:c>
    </x:row>
    <x:row r="57" ht="22" customHeight="1">
      <x:c r="A57" s="2"/>
      <x:c r="B57" s="8" t="n">
        <x:v>50</x:v>
      </x:c>
      <x:c r="C57" s="8" t="n">
        <x:v>2059</x:v>
      </x:c>
      <x:c r="D57" s="12" t="n">
        <x:f>C57/'客户小时分布'!$C$8</x:f>
        <x:v>0.00301490614109585</x:v>
      </x:c>
      <x:c r="E57" s="12" t="n">
        <x:f>C57/'客户小时分布'!$C$10</x:f>
        <x:v>0.000276747311827957</x:v>
      </x:c>
      <x:c r="F57" s="8" t="n">
        <x:f>B57*C57</x:f>
        <x:v>102950</x:v>
      </x:c>
      <x:c r="G57" s="12" t="n">
        <x:f>F57/'客户小时分布'!$C$6</x:f>
        <x:v>0.008399346458233424</x:v>
      </x:c>
      <x:c r="H57" s="12" t="n">
        <x:f>SUM($C$8:C57)/'客户小时分布'!$C$8</x:f>
        <x:v>0.9173909860309837</x:v>
      </x:c>
    </x:row>
    <x:row r="58" ht="22" customHeight="1">
      <x:c r="A58" s="2"/>
      <x:c r="B58" s="8" t="n">
        <x:v>51</x:v>
      </x:c>
      <x:c r="C58" s="8" t="n">
        <x:v>1927</x:v>
      </x:c>
      <x:c r="D58" s="12" t="n">
        <x:f>C58/'客户小时分布'!$C$8</x:f>
        <x:v>0.0028216241543913083</x:v>
      </x:c>
      <x:c r="E58" s="12" t="n">
        <x:f>C58/'客户小时分布'!$C$10</x:f>
        <x:v>0.000259005376344086</x:v>
      </x:c>
      <x:c r="F58" s="8" t="n">
        <x:f>B58*C58</x:f>
        <x:v>98277</x:v>
      </x:c>
      <x:c r="G58" s="12" t="n">
        <x:f>F58/'客户小时分布'!$C$6</x:f>
        <x:v>0.00801809200462172</x:v>
      </x:c>
      <x:c r="H58" s="12" t="n">
        <x:f>SUM($C$8:C58)/'客户小时分布'!$C$8</x:f>
        <x:v>0.920212610185375</x:v>
      </x:c>
    </x:row>
    <x:row r="59" ht="22" customHeight="1">
      <x:c r="A59" s="2"/>
      <x:c r="B59" s="8" t="n">
        <x:v>52</x:v>
      </x:c>
      <x:c r="C59" s="8" t="n">
        <x:v>1826</x:v>
      </x:c>
      <x:c r="D59" s="12" t="n">
        <x:f>C59/'客户小时分布'!$C$8</x:f>
        <x:v>0.002673734149412833</x:v>
      </x:c>
      <x:c r="E59" s="12" t="n">
        <x:f>C59/'客户小时分布'!$C$10</x:f>
        <x:v>0.0002454301075268817</x:v>
      </x:c>
      <x:c r="F59" s="8" t="n">
        <x:f>B59*C59</x:f>
        <x:v>94952</x:v>
      </x:c>
      <x:c r="G59" s="12" t="n">
        <x:f>F59/'客户小时分布'!$C$6</x:f>
        <x:v>0.007746816366218359</x:v>
      </x:c>
      <x:c r="H59" s="12" t="n">
        <x:f>SUM($C$8:C59)/'客户小时分布'!$C$8</x:f>
        <x:v>0.9228863443347878</x:v>
      </x:c>
    </x:row>
    <x:row r="60" ht="22" customHeight="1">
      <x:c r="A60" s="2"/>
      <x:c r="B60" s="8" t="n">
        <x:v>53</x:v>
      </x:c>
      <x:c r="C60" s="8" t="n">
        <x:v>1841</x:v>
      </x:c>
      <x:c r="D60" s="12" t="n">
        <x:f>C60/'客户小时分布'!$C$8</x:f>
        <x:v>0.002695698011538349</x:v>
      </x:c>
      <x:c r="E60" s="12" t="n">
        <x:f>C60/'客户小时分布'!$C$10</x:f>
        <x:v>0.0002474462365591398</x:v>
      </x:c>
      <x:c r="F60" s="8" t="n">
        <x:f>B60*C60</x:f>
        <x:v>97573</x:v>
      </x:c>
      <x:c r="G60" s="12" t="n">
        <x:f>F60/'客户小时分布'!$C$6</x:f>
        <x:v>0.007960654997272557</x:v>
      </x:c>
      <x:c r="H60" s="12" t="n">
        <x:f>SUM($C$8:C60)/'客户小时分布'!$C$8</x:f>
        <x:v>0.9255820423463261</x:v>
      </x:c>
    </x:row>
    <x:row r="61" ht="22" customHeight="1">
      <x:c r="A61" s="2"/>
      <x:c r="B61" s="8" t="n">
        <x:v>54</x:v>
      </x:c>
      <x:c r="C61" s="8" t="n">
        <x:v>1763</x:v>
      </x:c>
      <x:c r="D61" s="12" t="n">
        <x:f>C61/'客户小时分布'!$C$8</x:f>
        <x:v>0.0025814859284856648</x:v>
      </x:c>
      <x:c r="E61" s="12" t="n">
        <x:f>C61/'客户小时分布'!$C$10</x:f>
        <x:v>0.00023696236559139785</x:v>
      </x:c>
      <x:c r="F61" s="8" t="n">
        <x:f>B61*C61</x:f>
        <x:v>95202</x:v>
      </x:c>
      <x:c r="G61" s="12" t="n">
        <x:f>F61/'客户小时分布'!$C$6</x:f>
        <x:v>0.007767213030759965</x:v>
      </x:c>
      <x:c r="H61" s="12" t="n">
        <x:f>SUM($C$8:C61)/'客户小时分布'!$C$8</x:f>
        <x:v>0.9281635282748119</x:v>
      </x:c>
    </x:row>
    <x:row r="62" ht="22" customHeight="1">
      <x:c r="A62" s="2"/>
      <x:c r="B62" s="8" t="n">
        <x:v>55</x:v>
      </x:c>
      <x:c r="C62" s="8" t="n">
        <x:v>1666</x:v>
      </x:c>
      <x:c r="D62" s="12" t="n">
        <x:f>C62/'客户小时分布'!$C$8</x:f>
        <x:v>0.002439452953407327</x:v>
      </x:c>
      <x:c r="E62" s="12" t="n">
        <x:f>C62/'客户小时分布'!$C$10</x:f>
        <x:v>0.0002239247311827957</x:v>
      </x:c>
      <x:c r="F62" s="8" t="n">
        <x:f>B62*C62</x:f>
        <x:v>91630</x:v>
      </x:c>
      <x:c r="G62" s="12" t="n">
        <x:f>F62/'客户小时分布'!$C$6</x:f>
        <x:v>0.007475785487789496</x:v>
      </x:c>
      <x:c r="H62" s="12" t="n">
        <x:f>SUM($C$8:C62)/'客户小时分布'!$C$8</x:f>
        <x:v>0.9306029812282192</x:v>
      </x:c>
    </x:row>
    <x:row r="63" ht="22" customHeight="1">
      <x:c r="A63" s="2"/>
      <x:c r="B63" s="8" t="n">
        <x:v>56</x:v>
      </x:c>
      <x:c r="C63" s="8" t="n">
        <x:v>1592</x:v>
      </x:c>
      <x:c r="D63" s="12" t="n">
        <x:f>C63/'客户小时分布'!$C$8</x:f>
        <x:v>0.0023310979002547807</x:v>
      </x:c>
      <x:c r="E63" s="12" t="n">
        <x:f>C63/'客户小时分布'!$C$10</x:f>
        <x:v>0.00021397849462365592</x:v>
      </x:c>
      <x:c r="F63" s="8" t="n">
        <x:f>B63*C63</x:f>
        <x:v>89152</x:v>
      </x:c>
      <x:c r="G63" s="12" t="n">
        <x:f>F63/'客户小时分布'!$C$6</x:f>
        <x:v>0.007273613748853096</x:v>
      </x:c>
      <x:c r="H63" s="12" t="n">
        <x:f>SUM($C$8:C63)/'客户小时分布'!$C$8</x:f>
        <x:v>0.9329340791284739</x:v>
      </x:c>
    </x:row>
    <x:row r="64" ht="22" customHeight="1">
      <x:c r="A64" s="2"/>
      <x:c r="B64" s="8" t="n">
        <x:v>57</x:v>
      </x:c>
      <x:c r="C64" s="8" t="n">
        <x:v>1551</x:v>
      </x:c>
      <x:c r="D64" s="12" t="n">
        <x:f>C64/'客户小时分布'!$C$8</x:f>
        <x:v>0.00227106334377837</x:v>
      </x:c>
      <x:c r="E64" s="12" t="n">
        <x:f>C64/'客户小时分布'!$C$10</x:f>
        <x:v>0.00020846774193548388</x:v>
      </x:c>
      <x:c r="F64" s="8" t="n">
        <x:f>B64*C64</x:f>
        <x:v>88407</x:v>
      </x:c>
      <x:c r="G64" s="12" t="n">
        <x:f>F64/'客户小时分布'!$C$6</x:f>
        <x:v>0.007212831688519109</x:v>
      </x:c>
      <x:c r="H64" s="12" t="n">
        <x:f>SUM($C$8:C64)/'客户小时分布'!$C$8</x:f>
        <x:v>0.9352051424722523</x:v>
      </x:c>
    </x:row>
    <x:row r="65" ht="22" customHeight="1">
      <x:c r="A65" s="2"/>
      <x:c r="B65" s="8" t="n">
        <x:v>58</x:v>
      </x:c>
      <x:c r="C65" s="8" t="n">
        <x:v>1539</x:v>
      </x:c>
      <x:c r="D65" s="12" t="n">
        <x:f>C65/'客户小时分布'!$C$8</x:f>
        <x:v>0.002253492254077957</x:v>
      </x:c>
      <x:c r="E65" s="12" t="n">
        <x:f>C65/'客户小时分布'!$C$10</x:f>
        <x:v>0.00020685483870967741</x:v>
      </x:c>
      <x:c r="F65" s="8" t="n">
        <x:f>B65*C65</x:f>
        <x:v>89262</x:v>
      </x:c>
      <x:c r="G65" s="12" t="n">
        <x:f>F65/'客户小时分布'!$C$6</x:f>
        <x:v>0.007282588281251402</x:v>
      </x:c>
      <x:c r="H65" s="12" t="n">
        <x:f>SUM($C$8:C65)/'客户小时分布'!$C$8</x:f>
        <x:v>0.9374586347263303</x:v>
      </x:c>
    </x:row>
    <x:row r="66" ht="22" customHeight="1">
      <x:c r="A66" s="2"/>
      <x:c r="B66" s="8" t="n">
        <x:v>59</x:v>
      </x:c>
      <x:c r="C66" s="8" t="n">
        <x:v>1443</x:v>
      </x:c>
      <x:c r="D66" s="12" t="n">
        <x:f>C66/'客户小时分布'!$C$8</x:f>
        <x:v>0.002112923536474654</x:v>
      </x:c>
      <x:c r="E66" s="12" t="n">
        <x:f>C66/'客户小时分布'!$C$10</x:f>
        <x:v>0.0001939516129032258</x:v>
      </x:c>
      <x:c r="F66" s="8" t="n">
        <x:f>B66*C66</x:f>
        <x:v>85137</x:v>
      </x:c>
      <x:c r="G66" s="12" t="n">
        <x:f>F66/'客户小时分布'!$C$6</x:f>
        <x:v>0.0069460433163149</x:v>
      </x:c>
      <x:c r="H66" s="12" t="n">
        <x:f>SUM($C$8:C66)/'客户小时分布'!$C$8</x:f>
        <x:v>0.9395715582628049</x:v>
      </x:c>
    </x:row>
    <x:row r="67" ht="22" customHeight="1">
      <x:c r="A67" s="2"/>
      <x:c r="B67" s="8" t="n">
        <x:v>60</x:v>
      </x:c>
      <x:c r="C67" s="8" t="n">
        <x:v>1354</x:v>
      </x:c>
      <x:c r="D67" s="12" t="n">
        <x:f>C67/'客户小时分布'!$C$8</x:f>
        <x:v>0.0019826046211965914</x:v>
      </x:c>
      <x:c r="E67" s="12" t="n">
        <x:f>C67/'客户小时分布'!$C$10</x:f>
        <x:v>0.00018198924731182797</x:v>
      </x:c>
      <x:c r="F67" s="8" t="n">
        <x:f>B67*C67</x:f>
        <x:v>81240</x:v>
      </x:c>
      <x:c r="G67" s="12" t="n">
        <x:f>F67/'客户小时分布'!$C$6</x:f>
        <x:v>0.0066281001094403436</x:v>
      </x:c>
      <x:c r="H67" s="12" t="n">
        <x:f>SUM($C$8:C67)/'客户小时分布'!$C$8</x:f>
        <x:v>0.9415541628840015</x:v>
      </x:c>
    </x:row>
    <x:row r="68" ht="22" customHeight="1">
      <x:c r="A68" s="2"/>
      <x:c r="B68" s="8" t="n">
        <x:v>61</x:v>
      </x:c>
      <x:c r="C68" s="8" t="n">
        <x:v>1316</x:v>
      </x:c>
      <x:c r="D68" s="12" t="n">
        <x:f>C68/'客户小时分布'!$C$8</x:f>
        <x:v>0.0019269628371452836</x:v>
      </x:c>
      <x:c r="E68" s="12" t="n">
        <x:f>C68/'客户小时分布'!$C$10</x:f>
        <x:v>0.00017688172043010751</x:v>
      </x:c>
      <x:c r="F68" s="8" t="n">
        <x:f>B68*C68</x:f>
        <x:v>80276</x:v>
      </x:c>
      <x:c r="G68" s="12" t="n">
        <x:f>F68/'客户小时分布'!$C$6</x:f>
        <x:v>0.00654945057096791</x:v>
      </x:c>
      <x:c r="H68" s="12" t="n">
        <x:f>SUM($C$8:C68)/'客户小时分布'!$C$8</x:f>
        <x:v>0.9434811257211468</x:v>
      </x:c>
    </x:row>
    <x:row r="69" ht="22" customHeight="1">
      <x:c r="A69" s="2"/>
      <x:c r="B69" s="8" t="n">
        <x:v>62</x:v>
      </x:c>
      <x:c r="C69" s="8" t="n">
        <x:v>1322</x:v>
      </x:c>
      <x:c r="D69" s="12" t="n">
        <x:f>C69/'客户小时分布'!$C$8</x:f>
        <x:v>0.00193574838199549</x:v>
      </x:c>
      <x:c r="E69" s="12" t="n">
        <x:f>C69/'客户小时分布'!$C$10</x:f>
        <x:v>0.00017768817204301076</x:v>
      </x:c>
      <x:c r="F69" s="8" t="n">
        <x:f>B69*C69</x:f>
        <x:v>81964</x:v>
      </x:c>
      <x:c r="G69" s="12" t="n">
        <x:f>F69/'客户小时分布'!$C$6</x:f>
        <x:v>0.006687168849952835</x:v>
      </x:c>
      <x:c r="H69" s="12" t="n">
        <x:f>SUM($C$8:C69)/'客户小时分布'!$C$8</x:f>
        <x:v>0.9454168741031423</x:v>
      </x:c>
    </x:row>
    <x:row r="70" ht="22" customHeight="1">
      <x:c r="A70" s="2"/>
      <x:c r="B70" s="8" t="n">
        <x:v>63</x:v>
      </x:c>
      <x:c r="C70" s="8" t="n">
        <x:v>1276</x:v>
      </x:c>
      <x:c r="D70" s="12" t="n">
        <x:f>C70/'客户小时分布'!$C$8</x:f>
        <x:v>0.0018683925381439072</x:v>
      </x:c>
      <x:c r="E70" s="12" t="n">
        <x:f>C70/'客户小时分布'!$C$10</x:f>
        <x:v>0.00017150537634408601</x:v>
      </x:c>
      <x:c r="F70" s="8" t="n">
        <x:f>B70*C70</x:f>
        <x:v>80388</x:v>
      </x:c>
      <x:c r="G70" s="12" t="n">
        <x:f>F70/'客户小时分布'!$C$6</x:f>
        <x:v>0.006558588276682549</x:v>
      </x:c>
      <x:c r="H70" s="12" t="n">
        <x:f>SUM($C$8:C70)/'客户小时分布'!$C$8</x:f>
        <x:v>0.9472852666412862</x:v>
      </x:c>
    </x:row>
    <x:row r="71" ht="22" customHeight="1">
      <x:c r="A71" s="2"/>
      <x:c r="B71" s="8" t="n">
        <x:v>64</x:v>
      </x:c>
      <x:c r="C71" s="8" t="n">
        <x:v>1196</x:v>
      </x:c>
      <x:c r="D71" s="12" t="n">
        <x:f>C71/'客户小时分布'!$C$8</x:f>
        <x:v>0.0017512519401411545</x:v>
      </x:c>
      <x:c r="E71" s="12" t="n">
        <x:f>C71/'客户小时分布'!$C$10</x:f>
        <x:v>0.00016075268817204301</x:v>
      </x:c>
      <x:c r="F71" s="8" t="n">
        <x:f>B71*C71</x:f>
        <x:v>76544</x:v>
      </x:c>
      <x:c r="G71" s="12" t="n">
        <x:f>F71/'客户小时分布'!$C$6</x:f>
        <x:v>0.006244969162690813</x:v>
      </x:c>
      <x:c r="H71" s="12" t="n">
        <x:f>SUM($C$8:C71)/'客户小时分布'!$C$8</x:f>
        <x:v>0.9490365185814273</x:v>
      </x:c>
    </x:row>
    <x:row r="72" ht="22" customHeight="1">
      <x:c r="A72" s="2"/>
      <x:c r="B72" s="8" t="n">
        <x:v>65</x:v>
      </x:c>
      <x:c r="C72" s="8" t="n">
        <x:v>1098</x:v>
      </x:c>
      <x:c r="D72" s="12" t="n">
        <x:f>C72/'客户小时分布'!$C$8</x:f>
        <x:v>0.0016077547075877823</x:v>
      </x:c>
      <x:c r="E72" s="12" t="n">
        <x:f>C72/'客户小时分布'!$C$10</x:f>
        <x:v>0.00014758064516129032</x:v>
      </x:c>
      <x:c r="F72" s="8" t="n">
        <x:f>B72*C72</x:f>
        <x:v>71370</x:v>
      </x:c>
      <x:c r="G72" s="12" t="n">
        <x:f>F72/'客户小时分布'!$C$6</x:f>
        <x:v>0.005822839793337731</x:v>
      </x:c>
      <x:c r="H72" s="12" t="n">
        <x:f>SUM($C$8:C72)/'客户小时分布'!$C$8</x:f>
        <x:v>0.9506442732890151</x:v>
      </x:c>
    </x:row>
    <x:row r="73" ht="22" customHeight="1">
      <x:c r="A73" s="2"/>
      <x:c r="B73" s="8" t="n">
        <x:v>66</x:v>
      </x:c>
      <x:c r="C73" s="8" t="n">
        <x:v>1089</x:v>
      </x:c>
      <x:c r="D73" s="12" t="n">
        <x:f>C73/'客户小时分布'!$C$8</x:f>
        <x:v>0.0015945763903124726</x:v>
      </x:c>
      <x:c r="E73" s="12" t="n">
        <x:f>C73/'客户小时分布'!$C$10</x:f>
        <x:v>0.0001463709677419355</x:v>
      </x:c>
      <x:c r="F73" s="8" t="n">
        <x:f>B73*C73</x:f>
        <x:v>71874</x:v>
      </x:c>
      <x:c r="G73" s="12" t="n">
        <x:f>F73/'客户小时分布'!$C$6</x:f>
        <x:v>0.0058639594690536095</x:v>
      </x:c>
      <x:c r="H73" s="12" t="n">
        <x:f>SUM($C$8:C73)/'客户小时分布'!$C$8</x:f>
        <x:v>0.9522388496793276</x:v>
      </x:c>
    </x:row>
    <x:row r="74" ht="22" customHeight="1">
      <x:c r="A74" s="2"/>
      <x:c r="B74" s="8" t="n">
        <x:v>67</x:v>
      </x:c>
      <x:c r="C74" s="8" t="n">
        <x:v>1096</x:v>
      </x:c>
      <x:c r="D74" s="12" t="n">
        <x:f>C74/'客户小时分布'!$C$8</x:f>
        <x:v>0.0016048261926377135</x:v>
      </x:c>
      <x:c r="E74" s="12" t="n">
        <x:f>C74/'客户小时分布'!$C$10</x:f>
        <x:v>0.00014731182795698925</x:v>
      </x:c>
      <x:c r="F74" s="8" t="n">
        <x:f>B74*C74</x:f>
        <x:v>73432</x:v>
      </x:c>
      <x:c r="G74" s="12" t="n">
        <x:f>F74/'客户小时分布'!$C$6</x:f>
        <x:v>0.005991071482476899</x:v>
      </x:c>
      <x:c r="H74" s="12" t="n">
        <x:f>SUM($C$8:C74)/'客户小时分布'!$C$8</x:f>
        <x:v>0.9538436758719653</x:v>
      </x:c>
    </x:row>
    <x:row r="75" ht="22" customHeight="1">
      <x:c r="A75" s="2"/>
      <x:c r="B75" s="8" t="n">
        <x:v>68</x:v>
      </x:c>
      <x:c r="C75" s="8" t="n">
        <x:v>1021</x:v>
      </x:c>
      <x:c r="D75" s="12" t="n">
        <x:f>C75/'客户小时分布'!$C$8</x:f>
        <x:v>0.0014950068820101326</x:v>
      </x:c>
      <x:c r="E75" s="12" t="n">
        <x:f>C75/'客户小时分布'!$C$10</x:f>
        <x:v>0.00013723118279569893</x:v>
      </x:c>
      <x:c r="F75" s="8" t="n">
        <x:f>B75*C75</x:f>
        <x:v>69428</x:v>
      </x:c>
      <x:c r="G75" s="12" t="n">
        <x:f>F75/'客户小时分布'!$C$6</x:f>
        <x:v>0.005664398503178535</x:v>
      </x:c>
      <x:c r="H75" s="12" t="n">
        <x:f>SUM($C$8:C75)/'客户小时分布'!$C$8</x:f>
        <x:v>0.9553386827539755</x:v>
      </x:c>
    </x:row>
    <x:row r="76" ht="22" customHeight="1">
      <x:c r="A76" s="2"/>
      <x:c r="B76" s="8" t="n">
        <x:v>69</x:v>
      </x:c>
      <x:c r="C76" s="8" t="n">
        <x:v>1009</x:v>
      </x:c>
      <x:c r="D76" s="12" t="n">
        <x:f>C76/'客户小时分布'!$C$8</x:f>
        <x:v>0.0014774357923097198</x:v>
      </x:c>
      <x:c r="E76" s="12" t="n">
        <x:f>C76/'客户小时分布'!$C$10</x:f>
        <x:v>0.00013561827956989247</x:v>
      </x:c>
      <x:c r="F76" s="8" t="n">
        <x:f>B76*C76</x:f>
        <x:v>69621</x:v>
      </x:c>
      <x:c r="G76" s="12" t="n">
        <x:f>F76/'客户小时分布'!$C$6</x:f>
        <x:v>0.005680144728204654</x:v>
      </x:c>
      <x:c r="H76" s="12" t="n">
        <x:f>SUM($C$8:C76)/'客户小时分布'!$C$8</x:f>
        <x:v>0.9568161185462852</x:v>
      </x:c>
    </x:row>
    <x:row r="77" ht="22" customHeight="1">
      <x:c r="A77" s="2"/>
      <x:c r="B77" s="8" t="n">
        <x:v>70</x:v>
      </x:c>
      <x:c r="C77" s="8" t="n">
        <x:v>932</x:v>
      </x:c>
      <x:c r="D77" s="12" t="n">
        <x:f>C77/'客户小时分布'!$C$8</x:f>
        <x:v>0.00136468796673207</x:v>
      </x:c>
      <x:c r="E77" s="12" t="n">
        <x:f>C77/'客户小时分布'!$C$10</x:f>
        <x:v>0.00012526881720430108</x:v>
      </x:c>
      <x:c r="F77" s="8" t="n">
        <x:f>B77*C77</x:f>
        <x:v>65240</x:v>
      </x:c>
      <x:c r="G77" s="12" t="n">
        <x:f>F77/'客户小时分布'!$C$6</x:f>
        <x:v>0.005322713578777548</x:v>
      </x:c>
      <x:c r="H77" s="12" t="n">
        <x:f>SUM($C$8:C77)/'客户小时分布'!$C$8</x:f>
        <x:v>0.9581808065130173</x:v>
      </x:c>
    </x:row>
    <x:row r="78" ht="22" customHeight="1">
      <x:c r="A78" s="2"/>
      <x:c r="B78" s="8" t="n">
        <x:v>71</x:v>
      </x:c>
      <x:c r="C78" s="8" t="n">
        <x:v>901</x:v>
      </x:c>
      <x:c r="D78" s="12" t="n">
        <x:f>C78/'客户小时分布'!$C$8</x:f>
        <x:v>0.0013192959850060035</x:v>
      </x:c>
      <x:c r="E78" s="12" t="n">
        <x:f>C78/'客户小时分布'!$C$10</x:f>
        <x:v>0.00012110215053763441</x:v>
      </x:c>
      <x:c r="F78" s="8" t="n">
        <x:f>B78*C78</x:f>
        <x:v>63971</x:v>
      </x:c>
      <x:c r="G78" s="12" t="n">
        <x:f>F78/'客户小时分布'!$C$6</x:f>
        <x:v>0.005219180109564355</x:v>
      </x:c>
      <x:c r="H78" s="12" t="n">
        <x:f>SUM($C$8:C78)/'客户小时分布'!$C$8</x:f>
        <x:v>0.9595001024980232</x:v>
      </x:c>
    </x:row>
    <x:row r="79" ht="22" customHeight="1">
      <x:c r="A79" s="2"/>
      <x:c r="B79" s="8" t="n">
        <x:v>72</x:v>
      </x:c>
      <x:c r="C79" s="8" t="n">
        <x:v>821</x:v>
      </x:c>
      <x:c r="D79" s="12" t="n">
        <x:f>C79/'客户小时分布'!$C$8</x:f>
        <x:v>0.0012021553870032507</x:v>
      </x:c>
      <x:c r="E79" s="12" t="n">
        <x:f>C79/'客户小时分布'!$C$10</x:f>
        <x:v>0.0001103494623655914</x:v>
      </x:c>
      <x:c r="F79" s="8" t="n">
        <x:f>B79*C79</x:f>
        <x:v>59112</x:v>
      </x:c>
      <x:c r="G79" s="12" t="n">
        <x:f>F79/'客户小时分布'!$C$6</x:f>
        <x:v>0.004822750537533697</x:v>
      </x:c>
      <x:c r="H79" s="12" t="n">
        <x:f>SUM($C$8:C79)/'客户小时分布'!$C$8</x:f>
        <x:v>0.9607022578850265</x:v>
      </x:c>
    </x:row>
    <x:row r="80" ht="22" customHeight="1">
      <x:c r="A80" s="2"/>
      <x:c r="B80" s="8" t="n">
        <x:v>73</x:v>
      </x:c>
      <x:c r="C80" s="8" t="n">
        <x:v>815</x:v>
      </x:c>
      <x:c r="D80" s="12" t="n">
        <x:f>C80/'客户小时分布'!$C$8</x:f>
        <x:v>0.0011933698421530442</x:v>
      </x:c>
      <x:c r="E80" s="12" t="n">
        <x:f>C80/'客户小时分布'!$C$10</x:f>
        <x:v>0.00010954301075268817</x:v>
      </x:c>
      <x:c r="F80" s="8" t="n">
        <x:f>B80*C80</x:f>
        <x:v>59495</x:v>
      </x:c>
      <x:c r="G80" s="12" t="n">
        <x:f>F80/'客户小时分布'!$C$6</x:f>
        <x:v>0.004853998227611438</x:v>
      </x:c>
      <x:c r="H80" s="12" t="n">
        <x:f>SUM($C$8:C80)/'客户小时分布'!$C$8</x:f>
        <x:v>0.9618956277271795</x:v>
      </x:c>
    </x:row>
    <x:row r="81" ht="22" customHeight="1">
      <x:c r="A81" s="2"/>
      <x:c r="B81" s="8" t="n">
        <x:v>74</x:v>
      </x:c>
      <x:c r="C81" s="8" t="n">
        <x:v>762</x:v>
      </x:c>
      <x:c r="D81" s="12" t="n">
        <x:f>C81/'客户小时分布'!$C$8</x:f>
        <x:v>0.0011157641959762205</x:v>
      </x:c>
      <x:c r="E81" s="12" t="n">
        <x:f>C81/'客户小时分布'!$C$10</x:f>
        <x:v>0.00010241935483870968</x:v>
      </x:c>
      <x:c r="F81" s="8" t="n">
        <x:f>B81*C81</x:f>
        <x:v>56388</x:v>
      </x:c>
      <x:c r="G81" s="12" t="n">
        <x:f>F81/'客户小时分布'!$C$6</x:f>
        <x:v>0.004600508480688357</x:v>
      </x:c>
      <x:c r="H81" s="12" t="n">
        <x:f>SUM($C$8:C81)/'客户小时分布'!$C$8</x:f>
        <x:v>0.9630113919231558</x:v>
      </x:c>
    </x:row>
    <x:row r="82" ht="22" customHeight="1">
      <x:c r="A82" s="2"/>
      <x:c r="B82" s="8" t="n">
        <x:v>75</x:v>
      </x:c>
      <x:c r="C82" s="8" t="n">
        <x:v>796</x:v>
      </x:c>
      <x:c r="D82" s="12" t="n">
        <x:f>C82/'客户小时分布'!$C$8</x:f>
        <x:v>0.0011655489501273904</x:v>
      </x:c>
      <x:c r="E82" s="12" t="n">
        <x:f>C82/'客户小时分布'!$C$10</x:f>
        <x:v>0.00010698924731182796</x:v>
      </x:c>
      <x:c r="F82" s="8" t="n">
        <x:f>B82*C82</x:f>
        <x:v>59700</x:v>
      </x:c>
      <x:c r="G82" s="12" t="n">
        <x:f>F82/'客户小时分布'!$C$6</x:f>
        <x:v>0.004870723492535555</x:v>
      </x:c>
      <x:c r="H82" s="12" t="n">
        <x:f>SUM($C$8:C82)/'客户小时分布'!$C$8</x:f>
        <x:v>0.9641769408732832</x:v>
      </x:c>
    </x:row>
    <x:row r="83" ht="22" customHeight="1">
      <x:c r="A83" s="2"/>
      <x:c r="B83" s="8" t="n">
        <x:v>76</x:v>
      </x:c>
      <x:c r="C83" s="8" t="n">
        <x:v>770</x:v>
      </x:c>
      <x:c r="D83" s="12" t="n">
        <x:f>C83/'客户小时分布'!$C$8</x:f>
        <x:v>0.0011274782557764958</x:v>
      </x:c>
      <x:c r="E83" s="12" t="n">
        <x:f>C83/'客户小时分布'!$C$10</x:f>
        <x:v>0.00010349462365591398</x:v>
      </x:c>
      <x:c r="F83" s="8" t="n">
        <x:f>B83*C83</x:f>
        <x:v>58520</x:v>
      </x:c>
      <x:c r="G83" s="12" t="n">
        <x:f>F83/'客户小时分布'!$C$6</x:f>
        <x:v>0.004774451235899174</x:v>
      </x:c>
      <x:c r="H83" s="12" t="n">
        <x:f>SUM($C$8:C83)/'客户小时分布'!$C$8</x:f>
        <x:v>0.9653044191290596</x:v>
      </x:c>
    </x:row>
    <x:row r="84" ht="22" customHeight="1">
      <x:c r="A84" s="2"/>
      <x:c r="B84" s="8" t="n">
        <x:v>77</x:v>
      </x:c>
      <x:c r="C84" s="8" t="n">
        <x:v>705</x:v>
      </x:c>
      <x:c r="D84" s="12" t="n">
        <x:f>C84/'客户小时分布'!$C$8</x:f>
        <x:v>0.001032301519899259</x:v>
      </x:c>
      <x:c r="E84" s="12" t="n">
        <x:f>C84/'客户小时分布'!$C$10</x:f>
        <x:v>0.00009475806451612903</x:v>
      </x:c>
      <x:c r="F84" s="8" t="n">
        <x:f>B84*C84</x:f>
        <x:v>54285</x:v>
      </x:c>
      <x:c r="G84" s="12" t="n">
        <x:f>F84/'客户小时分布'!$C$6</x:f>
        <x:v>0.004428931738564366</x:v>
      </x:c>
      <x:c r="H84" s="12" t="n">
        <x:f>SUM($C$8:C84)/'客户小时分布'!$C$8</x:f>
        <x:v>0.9663367206489589</x:v>
      </x:c>
    </x:row>
    <x:row r="85" ht="22" customHeight="1">
      <x:c r="A85" s="2"/>
      <x:c r="B85" s="8" t="n">
        <x:v>78</x:v>
      </x:c>
      <x:c r="C85" s="8" t="n">
        <x:v>647</x:v>
      </x:c>
      <x:c r="D85" s="12" t="n">
        <x:f>C85/'客户小时分布'!$C$8</x:f>
        <x:v>0.0009473745863472633</x:v>
      </x:c>
      <x:c r="E85" s="12" t="n">
        <x:f>C85/'客户小时分布'!$C$10</x:f>
        <x:v>0.00008696236559139785</x:v>
      </x:c>
      <x:c r="F85" s="8" t="n">
        <x:f>B85*C85</x:f>
        <x:v>50466</x:v>
      </x:c>
      <x:c r="G85" s="12" t="n">
        <x:f>F85/'客户小时分布'!$C$6</x:f>
        <x:v>0.004117352291026789</x:v>
      </x:c>
      <x:c r="H85" s="12" t="n">
        <x:f>SUM($C$8:C85)/'客户小时分布'!$C$8</x:f>
        <x:v>0.9672840952353062</x:v>
      </x:c>
    </x:row>
    <x:row r="86" ht="22" customHeight="1">
      <x:c r="A86" s="2"/>
      <x:c r="B86" s="8" t="n">
        <x:v>79</x:v>
      </x:c>
      <x:c r="C86" s="8" t="n">
        <x:v>699</x:v>
      </x:c>
      <x:c r="D86" s="12" t="n">
        <x:f>C86/'客户小时分布'!$C$8</x:f>
        <x:v>0.0010235159750490526</x:v>
      </x:c>
      <x:c r="E86" s="12" t="n">
        <x:f>C86/'客户小时分布'!$C$10</x:f>
        <x:v>0.00009395161290322581</x:v>
      </x:c>
      <x:c r="F86" s="8" t="n">
        <x:f>B86*C86</x:f>
        <x:v>55221</x:v>
      </x:c>
      <x:c r="G86" s="12" t="n">
        <x:f>F86/'客户小时分布'!$C$6</x:f>
        <x:v>0.004505296850608138</x:v>
      </x:c>
      <x:c r="H86" s="12" t="n">
        <x:f>SUM($C$8:C86)/'客户小时分布'!$C$8</x:f>
        <x:v>0.9683076112103552</x:v>
      </x:c>
    </x:row>
    <x:row r="87" ht="22" customHeight="1">
      <x:c r="A87" s="2"/>
      <x:c r="B87" s="8" t="n">
        <x:v>80</x:v>
      </x:c>
      <x:c r="C87" s="8" t="n">
        <x:v>621</x:v>
      </x:c>
      <x:c r="D87" s="12" t="n">
        <x:f>C87/'客户小时分布'!$C$8</x:f>
        <x:v>0.0009093038919963687</x:v>
      </x:c>
      <x:c r="E87" s="12" t="n">
        <x:f>C87/'客户小时分布'!$C$10</x:f>
        <x:v>0.00008346774193548387</x:v>
      </x:c>
      <x:c r="F87" s="8" t="n">
        <x:f>B87*C87</x:f>
        <x:v>49680</x:v>
      </x:c>
      <x:c r="G87" s="12" t="n">
        <x:f>F87/'客户小时分布'!$C$6</x:f>
        <x:v>0.004053225177707979</x:v>
      </x:c>
      <x:c r="H87" s="12" t="n">
        <x:f>SUM($C$8:C87)/'客户小时分布'!$C$8</x:f>
        <x:v>0.9692169151023516</x:v>
      </x:c>
    </x:row>
    <x:row r="88" ht="22" customHeight="1">
      <x:c r="A88" s="2"/>
      <x:c r="B88" s="8" t="n">
        <x:v>81</x:v>
      </x:c>
      <x:c r="C88" s="8" t="n">
        <x:v>625</x:v>
      </x:c>
      <x:c r="D88" s="12" t="n">
        <x:f>C88/'客户小时分布'!$C$8</x:f>
        <x:v>0.0009151609218965063</x:v>
      </x:c>
      <x:c r="E88" s="12" t="n">
        <x:f>C88/'客户小时分布'!$C$10</x:f>
        <x:v>0.00008400537634408603</x:v>
      </x:c>
      <x:c r="F88" s="8" t="n">
        <x:f>B88*C88</x:f>
        <x:v>50625</x:v>
      </x:c>
      <x:c r="G88" s="12" t="n">
        <x:f>F88/'客户小时分布'!$C$6</x:f>
        <x:v>0.004130324569675251</x:v>
      </x:c>
      <x:c r="H88" s="12" t="n">
        <x:f>SUM($C$8:C88)/'客户小时分布'!$C$8</x:f>
        <x:v>0.9701320760242481</x:v>
      </x:c>
    </x:row>
    <x:row r="89" ht="22" customHeight="1">
      <x:c r="A89" s="2"/>
      <x:c r="B89" s="8" t="n">
        <x:v>82</x:v>
      </x:c>
      <x:c r="C89" s="8" t="n">
        <x:v>673</x:v>
      </x:c>
      <x:c r="D89" s="12" t="n">
        <x:f>C89/'客户小时分布'!$C$8</x:f>
        <x:v>0.000985445280698158</x:v>
      </x:c>
      <x:c r="E89" s="12" t="n">
        <x:f>C89/'客户小时分布'!$C$10</x:f>
        <x:v>0.00009045698924731182</x:v>
      </x:c>
      <x:c r="F89" s="8" t="n">
        <x:f>B89*C89</x:f>
        <x:v>55186</x:v>
      </x:c>
      <x:c r="G89" s="12" t="n">
        <x:f>F89/'客户小时分布'!$C$6</x:f>
        <x:v>0.004502441317572314</x:v>
      </x:c>
      <x:c r="H89" s="12" t="n">
        <x:f>SUM($C$8:C89)/'客户小时分布'!$C$8</x:f>
        <x:v>0.9711175213049462</x:v>
      </x:c>
    </x:row>
    <x:row r="90" ht="22" customHeight="1">
      <x:c r="A90" s="2"/>
      <x:c r="B90" s="8" t="n">
        <x:v>83</x:v>
      </x:c>
      <x:c r="C90" s="8" t="n">
        <x:v>617</x:v>
      </x:c>
      <x:c r="D90" s="12" t="n">
        <x:f>C90/'客户小时分布'!$C$8</x:f>
        <x:v>0.000903446862096231</x:v>
      </x:c>
      <x:c r="E90" s="12" t="n">
        <x:f>C90/'客户小时分布'!$C$10</x:f>
        <x:v>0.00008293010752688172</x:v>
      </x:c>
      <x:c r="F90" s="8" t="n">
        <x:f>B90*C90</x:f>
        <x:v>51211</x:v>
      </x:c>
      <x:c r="G90" s="12" t="n">
        <x:f>F90/'客户小时分布'!$C$6</x:f>
        <x:v>0.0041781343513607756</x:v>
      </x:c>
      <x:c r="H90" s="12" t="n">
        <x:f>SUM($C$8:C90)/'客户小时分布'!$C$8</x:f>
        <x:v>0.9720209681670425</x:v>
      </x:c>
    </x:row>
    <x:row r="91" ht="22" customHeight="1">
      <x:c r="A91" s="2"/>
      <x:c r="B91" s="8" t="n">
        <x:v>84</x:v>
      </x:c>
      <x:c r="C91" s="8" t="n">
        <x:v>567</x:v>
      </x:c>
      <x:c r="D91" s="12" t="n">
        <x:f>C91/'客户小时分布'!$C$8</x:f>
        <x:v>0.0008302339883445105</x:v>
      </x:c>
      <x:c r="E91" s="12" t="n">
        <x:f>C91/'客户小时分布'!$C$10</x:f>
        <x:v>0.00007620967741935484</x:v>
      </x:c>
      <x:c r="F91" s="8" t="n">
        <x:f>B91*C91</x:f>
        <x:v>47628</x:v>
      </x:c>
      <x:c r="G91" s="12" t="n">
        <x:f>F91/'客户小时分布'!$C$6</x:f>
        <x:v>0.003885809355150476</x:v>
      </x:c>
      <x:c r="H91" s="12" t="n">
        <x:f>SUM($C$8:C91)/'客户小时分布'!$C$8</x:f>
        <x:v>0.972851202155387</x:v>
      </x:c>
    </x:row>
    <x:row r="92" ht="22" customHeight="1">
      <x:c r="A92" s="2"/>
      <x:c r="B92" s="8" t="n">
        <x:v>85</x:v>
      </x:c>
      <x:c r="C92" s="8" t="n">
        <x:v>563</x:v>
      </x:c>
      <x:c r="D92" s="12" t="n">
        <x:f>C92/'客户小时分布'!$C$8</x:f>
        <x:v>0.0008243769584443728</x:v>
      </x:c>
      <x:c r="E92" s="12" t="n">
        <x:f>C92/'客户小时分布'!$C$10</x:f>
        <x:v>0.00007567204301075269</x:v>
      </x:c>
      <x:c r="F92" s="8" t="n">
        <x:f>B92*C92</x:f>
        <x:v>47855</x:v>
      </x:c>
      <x:c r="G92" s="12" t="n">
        <x:f>F92/'客户小时分布'!$C$6</x:f>
        <x:v>0.0039043295265542544</x:v>
      </x:c>
      <x:c r="H92" s="12" t="n">
        <x:f>SUM($C$8:C92)/'客户小时分布'!$C$8</x:f>
        <x:v>0.9736755791138314</x:v>
      </x:c>
    </x:row>
    <x:row r="93" ht="22" customHeight="1">
      <x:c r="A93" s="2"/>
      <x:c r="B93" s="8" t="n">
        <x:v>86</x:v>
      </x:c>
      <x:c r="C93" s="8" t="n">
        <x:v>547</x:v>
      </x:c>
      <x:c r="D93" s="12" t="n">
        <x:f>C93/'客户小时分布'!$C$8</x:f>
        <x:v>0.0008009488388438223</x:v>
      </x:c>
      <x:c r="E93" s="12" t="n">
        <x:f>C93/'客户小时分布'!$C$10</x:f>
        <x:v>0.00007352150537634409</x:v>
      </x:c>
      <x:c r="F93" s="8" t="n">
        <x:f>B93*C93</x:f>
        <x:v>47042</x:v>
      </x:c>
      <x:c r="G93" s="12" t="n">
        <x:f>F93/'客户小时分布'!$C$6</x:f>
        <x:v>0.0038379995734649512</x:v>
      </x:c>
      <x:c r="H93" s="12" t="n">
        <x:f>SUM($C$8:C93)/'客户小时分布'!$C$8</x:f>
        <x:v>0.9744765279526753</x:v>
      </x:c>
    </x:row>
    <x:row r="94" ht="22" customHeight="1">
      <x:c r="A94" s="2"/>
      <x:c r="B94" s="8" t="n">
        <x:v>87</x:v>
      </x:c>
      <x:c r="C94" s="8" t="n">
        <x:v>503</x:v>
      </x:c>
      <x:c r="D94" s="12" t="n">
        <x:f>C94/'客户小时分布'!$C$8</x:f>
        <x:v>0.0007365215099423083</x:v>
      </x:c>
      <x:c r="E94" s="12" t="n">
        <x:f>C94/'客户小时分布'!$C$10</x:f>
        <x:v>0.00006760752688172043</x:v>
      </x:c>
      <x:c r="F94" s="8" t="n">
        <x:f>B94*C94</x:f>
        <x:v>43761</x:v>
      </x:c>
      <x:c r="G94" s="12" t="n">
        <x:f>F94/'客户小时分布'!$C$6</x:f>
        <x:v>0.0035703137480209116</x:v>
      </x:c>
      <x:c r="H94" s="12" t="n">
        <x:f>SUM($C$8:C94)/'客户小时分布'!$C$8</x:f>
        <x:v>0.9752130494626176</x:v>
      </x:c>
    </x:row>
    <x:row r="95" ht="22" customHeight="1">
      <x:c r="A95" s="2"/>
      <x:c r="B95" s="8" t="n">
        <x:v>88</x:v>
      </x:c>
      <x:c r="C95" s="8" t="n">
        <x:v>507</x:v>
      </x:c>
      <x:c r="D95" s="12" t="n">
        <x:f>C95/'客户小时分布'!$C$8</x:f>
        <x:v>0.000742378539842446</x:v>
      </x:c>
      <x:c r="E95" s="12" t="n">
        <x:f>C95/'客户小时分布'!$C$10</x:f>
        <x:v>0.00006814516129032257</x:v>
      </x:c>
      <x:c r="F95" s="8" t="n">
        <x:f>B95*C95</x:f>
        <x:v>44616</x:v>
      </x:c>
      <x:c r="G95" s="12" t="n">
        <x:f>F95/'客户小时分布'!$C$6</x:f>
        <x:v>0.0036400703407532048</x:v>
      </x:c>
      <x:c r="H95" s="12" t="n">
        <x:f>SUM($C$8:C95)/'客户小时分布'!$C$8</x:f>
        <x:v>0.9759554280024599</x:v>
      </x:c>
    </x:row>
    <x:row r="96" ht="22" customHeight="1">
      <x:c r="A96" s="2"/>
      <x:c r="B96" s="8" t="n">
        <x:v>89</x:v>
      </x:c>
      <x:c r="C96" s="8" t="n">
        <x:v>499</x:v>
      </x:c>
      <x:c r="D96" s="12" t="n">
        <x:f>C96/'客户小时分布'!$C$8</x:f>
        <x:v>0.0007306644800421706</x:v>
      </x:c>
      <x:c r="E96" s="12" t="n">
        <x:f>C96/'客户小时分布'!$C$10</x:f>
        <x:v>0.00006706989247311828</x:v>
      </x:c>
      <x:c r="F96" s="8" t="n">
        <x:f>B96*C96</x:f>
        <x:v>44411</x:v>
      </x:c>
      <x:c r="G96" s="12" t="n">
        <x:f>F96/'客户小时分布'!$C$6</x:f>
        <x:v>0.003623345075829088</x:v>
      </x:c>
      <x:c r="H96" s="12" t="n">
        <x:f>SUM($C$8:C96)/'客户小时分布'!$C$8</x:f>
        <x:v>0.9766860924825022</x:v>
      </x:c>
    </x:row>
    <x:row r="97" ht="22" customHeight="1">
      <x:c r="A97" s="2"/>
      <x:c r="B97" s="8" t="n">
        <x:v>90</x:v>
      </x:c>
      <x:c r="C97" s="8" t="n">
        <x:v>494</x:v>
      </x:c>
      <x:c r="D97" s="12" t="n">
        <x:f>C97/'客户小时分布'!$C$8</x:f>
        <x:v>0.0007233431926669986</x:v>
      </x:c>
      <x:c r="E97" s="12" t="n">
        <x:f>C97/'客户小时分布'!$C$10</x:f>
        <x:v>0.0000663978494623656</x:v>
      </x:c>
      <x:c r="F97" s="8" t="n">
        <x:f>B97*C97</x:f>
        <x:v>44460</x:v>
      </x:c>
      <x:c r="G97" s="12" t="n">
        <x:f>F97/'客户小时分布'!$C$6</x:f>
        <x:v>0.0036273428220792423</x:v>
      </x:c>
      <x:c r="H97" s="12" t="n">
        <x:f>SUM($C$8:C97)/'客户小时分布'!$C$8</x:f>
        <x:v>0.9774094356751691</x:v>
      </x:c>
    </x:row>
    <x:row r="98" ht="22" customHeight="1">
      <x:c r="A98" s="2"/>
      <x:c r="B98" s="8" t="n">
        <x:v>91</x:v>
      </x:c>
      <x:c r="C98" s="8" t="n">
        <x:v>469</x:v>
      </x:c>
      <x:c r="D98" s="12" t="n">
        <x:f>C98/'客户小时分布'!$C$8</x:f>
        <x:v>0.0006867367557911383</x:v>
      </x:c>
      <x:c r="E98" s="12" t="n">
        <x:f>C98/'客户小时分布'!$C$10</x:f>
        <x:v>0.00006303763440860215</x:v>
      </x:c>
      <x:c r="F98" s="8" t="n">
        <x:f>B98*C98</x:f>
        <x:v>42679</x:v>
      </x:c>
      <x:c r="G98" s="12" t="n">
        <x:f>F98/'客户小时分布'!$C$6</x:f>
        <x:v>0.00348203698388484</x:v>
      </x:c>
      <x:c r="H98" s="12" t="n">
        <x:f>SUM($C$8:C98)/'客户小时分布'!$C$8</x:f>
        <x:v>0.9780961724309603</x:v>
      </x:c>
    </x:row>
    <x:row r="99" ht="22" customHeight="1">
      <x:c r="A99" s="2"/>
      <x:c r="B99" s="8" t="n">
        <x:v>92</x:v>
      </x:c>
      <x:c r="C99" s="8" t="n">
        <x:v>416</x:v>
      </x:c>
      <x:c r="D99" s="12" t="n">
        <x:f>C99/'客户小时分布'!$C$8</x:f>
        <x:v>0.0006091311096143145</x:v>
      </x:c>
      <x:c r="E99" s="12" t="n">
        <x:f>C99/'客户小时分布'!$C$10</x:f>
        <x:v>0.000055913978494623656</x:v>
      </x:c>
      <x:c r="F99" s="8" t="n">
        <x:f>B99*C99</x:f>
        <x:v>38272</x:v>
      </x:c>
      <x:c r="G99" s="12" t="n">
        <x:f>F99/'客户小时分布'!$C$6</x:f>
        <x:v>0.0031224845813454063</x:v>
      </x:c>
      <x:c r="H99" s="12" t="n">
        <x:f>SUM($C$8:C99)/'客户小时分布'!$C$8</x:f>
        <x:v>0.9787053035405746</x:v>
      </x:c>
    </x:row>
    <x:row r="100" ht="22" customHeight="1">
      <x:c r="A100" s="2"/>
      <x:c r="B100" s="8" t="n">
        <x:v>93</x:v>
      </x:c>
      <x:c r="C100" s="8" t="n">
        <x:v>384</x:v>
      </x:c>
      <x:c r="D100" s="12" t="n">
        <x:f>C100/'客户小时分布'!$C$8</x:f>
        <x:v>0.0005622748704132135</x:v>
      </x:c>
      <x:c r="E100" s="12" t="n">
        <x:f>C100/'客户小时分布'!$C$10</x:f>
        <x:v>0.00005161290322580645</x:v>
      </x:c>
      <x:c r="F100" s="8" t="n">
        <x:f>B100*C100</x:f>
        <x:v>35712</x:v>
      </x:c>
      <x:c r="G100" s="12" t="n">
        <x:f>F100/'客户小时分布'!$C$6</x:f>
        <x:v>0.002913622736439359</x:v>
      </x:c>
      <x:c r="H100" s="12" t="n">
        <x:f>SUM($C$8:C100)/'客户小时分布'!$C$8</x:f>
        <x:v>0.9792675784109878</x:v>
      </x:c>
    </x:row>
    <x:row r="101" ht="22" customHeight="1">
      <x:c r="A101" s="2"/>
      <x:c r="B101" s="8" t="n">
        <x:v>94</x:v>
      </x:c>
      <x:c r="C101" s="8" t="n">
        <x:v>418</x:v>
      </x:c>
      <x:c r="D101" s="12" t="n">
        <x:f>C101/'客户小时分布'!$C$8</x:f>
        <x:v>0.0006120596245643834</x:v>
      </x:c>
      <x:c r="E101" s="12" t="n">
        <x:f>C101/'客户小时分布'!$C$10</x:f>
        <x:v>0.00005618279569892473</x:v>
      </x:c>
      <x:c r="F101" s="8" t="n">
        <x:f>B101*C101</x:f>
        <x:v>39292</x:v>
      </x:c>
      <x:c r="G101" s="12" t="n">
        <x:f>F101/'客户小时分布'!$C$6</x:f>
        <x:v>0.0032057029726751595</x:v>
      </x:c>
      <x:c r="H101" s="12" t="n">
        <x:f>SUM($C$8:C101)/'客户小时分布'!$C$8</x:f>
        <x:v>0.9798796380355522</x:v>
      </x:c>
    </x:row>
    <x:row r="102" ht="22" customHeight="1">
      <x:c r="A102" s="2"/>
      <x:c r="B102" s="8" t="n">
        <x:v>95</x:v>
      </x:c>
      <x:c r="C102" s="8" t="n">
        <x:v>404</x:v>
      </x:c>
      <x:c r="D102" s="12" t="n">
        <x:f>C102/'客户小时分布'!$C$8</x:f>
        <x:v>0.0005915600199139017</x:v>
      </x:c>
      <x:c r="E102" s="12" t="n">
        <x:f>C102/'客户小时分布'!$C$10</x:f>
        <x:v>0.0000543010752688172</x:v>
      </x:c>
      <x:c r="F102" s="8" t="n">
        <x:f>B102*C102</x:f>
        <x:v>38380</x:v>
      </x:c>
      <x:c r="G102" s="12" t="n">
        <x:f>F102/'客户小时分布'!$C$6</x:f>
        <x:v>0.00313129594042738</x:v>
      </x:c>
      <x:c r="H102" s="12" t="n">
        <x:f>SUM($C$8:C102)/'客户小时分布'!$C$8</x:f>
        <x:v>0.9804711980554661</x:v>
      </x:c>
    </x:row>
    <x:row r="103" ht="22" customHeight="1">
      <x:c r="A103" s="2"/>
      <x:c r="B103" s="8" t="n">
        <x:v>96</x:v>
      </x:c>
      <x:c r="C103" s="8" t="n">
        <x:v>381</x:v>
      </x:c>
      <x:c r="D103" s="12" t="n">
        <x:f>C103/'客户小时分布'!$C$8</x:f>
        <x:v>0.0005578820979881102</x:v>
      </x:c>
      <x:c r="E103" s="12" t="n">
        <x:f>C103/'客户小时分布'!$C$10</x:f>
        <x:v>0.00005120967741935484</x:v>
      </x:c>
      <x:c r="F103" s="8" t="n">
        <x:f>B103*C103</x:f>
        <x:v>36576</x:v>
      </x:c>
      <x:c r="G103" s="12" t="n">
        <x:f>F103/'客户小时分布'!$C$6</x:f>
        <x:v>0.0029841136090951502</x:v>
      </x:c>
      <x:c r="H103" s="12" t="n">
        <x:f>SUM($C$8:C103)/'客户小时分布'!$C$8</x:f>
        <x:v>0.9810290801534541</x:v>
      </x:c>
    </x:row>
    <x:row r="104" ht="22" customHeight="1">
      <x:c r="A104" s="2"/>
      <x:c r="B104" s="8" t="n">
        <x:v>97</x:v>
      </x:c>
      <x:c r="C104" s="8" t="n">
        <x:v>406</x:v>
      </x:c>
      <x:c r="D104" s="12" t="n">
        <x:f>C104/'客户小时分布'!$C$8</x:f>
        <x:v>0.0005944885348639705</x:v>
      </x:c>
      <x:c r="E104" s="12" t="n">
        <x:f>C104/'客户小时分布'!$C$10</x:f>
        <x:v>0.00005456989247311828</x:v>
      </x:c>
      <x:c r="F104" s="8" t="n">
        <x:f>B104*C104</x:f>
        <x:v>39382</x:v>
      </x:c>
      <x:c r="G104" s="12" t="n">
        <x:f>F104/'客户小时分布'!$C$6</x:f>
        <x:v>0.0032130457719101377</x:v>
      </x:c>
      <x:c r="H104" s="12" t="n">
        <x:f>SUM($C$8:C104)/'客户小时分布'!$C$8</x:f>
        <x:v>0.9816235686883181</x:v>
      </x:c>
    </x:row>
    <x:row r="105" ht="22" customHeight="1">
      <x:c r="A105" s="2"/>
      <x:c r="B105" s="8" t="n">
        <x:v>98</x:v>
      </x:c>
      <x:c r="C105" s="8" t="n">
        <x:v>380</x:v>
      </x:c>
      <x:c r="D105" s="12" t="n">
        <x:f>C105/'客户小时分布'!$C$8</x:f>
        <x:v>0.0005564178405130758</x:v>
      </x:c>
      <x:c r="E105" s="12" t="n">
        <x:f>C105/'客户小时分布'!$C$10</x:f>
        <x:v>0.000051075268817204304</x:v>
      </x:c>
      <x:c r="F105" s="8" t="n">
        <x:f>B105*C105</x:f>
        <x:v>37240</x:v>
      </x:c>
      <x:c r="G105" s="12" t="n">
        <x:f>F105/'客户小时分布'!$C$6</x:f>
        <x:v>0.003038287150117656</x:v>
      </x:c>
      <x:c r="H105" s="12" t="n">
        <x:f>SUM($C$8:C105)/'客户小时分布'!$C$8</x:f>
        <x:v>0.9821799865288312</x:v>
      </x:c>
    </x:row>
    <x:row r="106" ht="22" customHeight="1">
      <x:c r="A106" s="2"/>
      <x:c r="B106" s="8" t="n">
        <x:v>99</x:v>
      </x:c>
      <x:c r="C106" s="8" t="n">
        <x:v>378</x:v>
      </x:c>
      <x:c r="D106" s="12" t="n">
        <x:f>C106/'客户小时分布'!$C$8</x:f>
        <x:v>0.000553489325563007</x:v>
      </x:c>
      <x:c r="E106" s="12" t="n">
        <x:f>C106/'客户小时分布'!$C$10</x:f>
        <x:v>0.00005080645161290322</x:v>
      </x:c>
      <x:c r="F106" s="8" t="n">
        <x:f>B106*C106</x:f>
        <x:v>37422</x:v>
      </x:c>
      <x:c r="G106" s="12" t="n">
        <x:f>F106/'客户小时分布'!$C$6</x:f>
        <x:v>0.0030531359219039453</x:v>
      </x:c>
      <x:c r="H106" s="12" t="n">
        <x:f>SUM($C$8:C106)/'客户小时分布'!$C$8</x:f>
        <x:v>0.9827334758543942</x:v>
      </x:c>
    </x:row>
    <x:row r="107" ht="22" customHeight="1">
      <x:c r="A107" s="2"/>
      <x:c r="B107" s="8" t="n">
        <x:v>100</x:v>
      </x:c>
      <x:c r="C107" s="8" t="n">
        <x:v>318</x:v>
      </x:c>
      <x:c r="D107" s="12" t="n">
        <x:f>C107/'客户小时分布'!$C$8</x:f>
        <x:v>0.0004656338770609424</x:v>
      </x:c>
      <x:c r="E107" s="12" t="n">
        <x:f>C107/'客户小时分布'!$C$10</x:f>
        <x:v>0.00004274193548387097</x:v>
      </x:c>
      <x:c r="F107" s="8" t="n">
        <x:f>B107*C107</x:f>
        <x:v>31800</x:v>
      </x:c>
      <x:c r="G107" s="12" t="n">
        <x:f>F107/'客户小时分布'!$C$6</x:f>
        <x:v>0.0025944557296923056</x:v>
      </x:c>
      <x:c r="H107" s="12" t="n">
        <x:f>SUM($C$8:C107)/'客户小时分布'!$C$8</x:f>
        <x:v>0.9831991097314552</x:v>
      </x:c>
    </x:row>
    <x:row r="108" ht="22" customHeight="1">
      <x:c r="A108" s="2"/>
      <x:c r="B108" s="8" t="n">
        <x:v>101</x:v>
      </x:c>
      <x:c r="C108" s="8" t="n">
        <x:v>345</x:v>
      </x:c>
      <x:c r="D108" s="12" t="n">
        <x:f>C108/'客户小时分布'!$C$8</x:f>
        <x:v>0.0005051688288868714</x:v>
      </x:c>
      <x:c r="E108" s="12" t="n">
        <x:f>C108/'客户小时分布'!$C$10</x:f>
        <x:v>0.00004637096774193548</x:v>
      </x:c>
      <x:c r="F108" s="8" t="n">
        <x:f>B108*C108</x:f>
        <x:v>34845</x:v>
      </x:c>
      <x:c r="G108" s="12" t="n">
        <x:f>F108/'客户小时分布'!$C$6</x:f>
        <x:v>0.002842887103809069</x:v>
      </x:c>
      <x:c r="H108" s="12" t="n">
        <x:f>SUM($C$8:C108)/'客户小时分布'!$C$8</x:f>
        <x:v>0.983704278560342</x:v>
      </x:c>
    </x:row>
    <x:row r="109" ht="22" customHeight="1">
      <x:c r="A109" s="2"/>
      <x:c r="B109" s="8" t="n">
        <x:v>102</x:v>
      </x:c>
      <x:c r="C109" s="8" t="n">
        <x:v>324</x:v>
      </x:c>
      <x:c r="D109" s="12" t="n">
        <x:f>C109/'客户小时分布'!$C$8</x:f>
        <x:v>0.0004744194219111489</x:v>
      </x:c>
      <x:c r="E109" s="12" t="n">
        <x:f>C109/'客户小时分布'!$C$10</x:f>
        <x:v>0.000043548387096774194</x:v>
      </x:c>
      <x:c r="F109" s="8" t="n">
        <x:f>B109*C109</x:f>
        <x:v>33048</x:v>
      </x:c>
      <x:c r="G109" s="12" t="n">
        <x:f>F109/'客户小时分布'!$C$6</x:f>
        <x:v>0.0026962758790840037</x:v>
      </x:c>
      <x:c r="H109" s="12" t="n">
        <x:f>SUM($C$8:C109)/'客户小时分布'!$C$8</x:f>
        <x:v>0.9841786979822532</x:v>
      </x:c>
    </x:row>
    <x:row r="110" ht="22" customHeight="1">
      <x:c r="A110" s="2"/>
      <x:c r="B110" s="8" t="n">
        <x:v>103</x:v>
      </x:c>
      <x:c r="C110" s="8" t="n">
        <x:v>305</x:v>
      </x:c>
      <x:c r="D110" s="12" t="n">
        <x:f>C110/'客户小时分布'!$C$8</x:f>
        <x:v>0.00044659852988549506</x:v>
      </x:c>
      <x:c r="E110" s="12" t="n">
        <x:f>C110/'客户小时分布'!$C$10</x:f>
        <x:v>0.00004099462365591398</x:v>
      </x:c>
      <x:c r="F110" s="8" t="n">
        <x:f>B110*C110</x:f>
        <x:v>31415</x:v>
      </x:c>
      <x:c r="G110" s="12" t="n">
        <x:f>F110/'客户小时分布'!$C$6</x:f>
        <x:v>0.0025630448662982324</x:v>
      </x:c>
      <x:c r="H110" s="12" t="n">
        <x:f>SUM($C$8:C110)/'客户小时分布'!$C$8</x:f>
        <x:v>0.9846252965121387</x:v>
      </x:c>
    </x:row>
    <x:row r="111" ht="22" customHeight="1">
      <x:c r="A111" s="2"/>
      <x:c r="B111" s="8" t="n">
        <x:v>104</x:v>
      </x:c>
      <x:c r="C111" s="8" t="n">
        <x:v>308</x:v>
      </x:c>
      <x:c r="D111" s="12" t="n">
        <x:f>C111/'客户小时分布'!$C$8</x:f>
        <x:v>0.0004509913023105983</x:v>
      </x:c>
      <x:c r="E111" s="12" t="n">
        <x:f>C111/'客户小时分布'!$C$10</x:f>
        <x:v>0.00004139784946236559</x:v>
      </x:c>
      <x:c r="F111" s="8" t="n">
        <x:f>B111*C111</x:f>
        <x:v>32032</x:v>
      </x:c>
      <x:c r="G111" s="12" t="n">
        <x:f>F111/'客户小时分布'!$C$6</x:f>
        <x:v>0.0026133838343869163</x:v>
      </x:c>
      <x:c r="H111" s="12" t="n">
        <x:f>SUM($C$8:C111)/'客户小时分布'!$C$8</x:f>
        <x:v>0.9850762878144493</x:v>
      </x:c>
    </x:row>
    <x:row r="112" ht="22" customHeight="1">
      <x:c r="A112" s="2"/>
      <x:c r="B112" s="8" t="n">
        <x:v>105</x:v>
      </x:c>
      <x:c r="C112" s="8" t="n">
        <x:v>282</x:v>
      </x:c>
      <x:c r="D112" s="12" t="n">
        <x:f>C112/'客户小时分布'!$C$8</x:f>
        <x:v>0.00041292060795970363</x:v>
      </x:c>
      <x:c r="E112" s="12" t="n">
        <x:f>C112/'客户小时分布'!$C$10</x:f>
        <x:v>0.000037903225806451614</x:v>
      </x:c>
      <x:c r="F112" s="8" t="n">
        <x:f>B112*C112</x:f>
        <x:v>29610</x:v>
      </x:c>
      <x:c r="G112" s="12" t="n">
        <x:f>F112/'客户小时分布'!$C$6</x:f>
        <x:v>0.0024157809483078357</x:v>
      </x:c>
      <x:c r="H112" s="12" t="n">
        <x:f>SUM($C$8:C112)/'客户小时分布'!$C$8</x:f>
        <x:v>0.985489208422409</x:v>
      </x:c>
    </x:row>
    <x:row r="113" ht="22" customHeight="1">
      <x:c r="A113" s="2"/>
      <x:c r="B113" s="8" t="n">
        <x:v>106</x:v>
      </x:c>
      <x:c r="C113" s="8" t="n">
        <x:v>304</x:v>
      </x:c>
      <x:c r="D113" s="12" t="n">
        <x:f>C113/'客户小时分布'!$C$8</x:f>
        <x:v>0.00044513427241046064</x:v>
      </x:c>
      <x:c r="E113" s="12" t="n">
        <x:f>C113/'客户小时分布'!$C$10</x:f>
        <x:v>0.00004086021505376344</x:v>
      </x:c>
      <x:c r="F113" s="8" t="n">
        <x:f>B113*C113</x:f>
        <x:v>32224</x:v>
      </x:c>
      <x:c r="G113" s="12" t="n">
        <x:f>F113/'客户小时分布'!$C$6</x:f>
        <x:v>0.0026290484727548697</x:v>
      </x:c>
      <x:c r="H113" s="12" t="n">
        <x:f>SUM($C$8:C113)/'客户小时分布'!$C$8</x:f>
        <x:v>0.9859343426948195</x:v>
      </x:c>
    </x:row>
    <x:row r="114" ht="22" customHeight="1">
      <x:c r="A114" s="2"/>
      <x:c r="B114" s="8" t="n">
        <x:v>107</x:v>
      </x:c>
      <x:c r="C114" s="8" t="n">
        <x:v>290</x:v>
      </x:c>
      <x:c r="D114" s="12" t="n">
        <x:f>C114/'客户小时分布'!$C$8</x:f>
        <x:v>0.0004246346677599789</x:v>
      </x:c>
      <x:c r="E114" s="12" t="n">
        <x:f>C114/'客户小时分布'!$C$10</x:f>
        <x:v>0.000038978494623655915</x:v>
      </x:c>
      <x:c r="F114" s="8" t="n">
        <x:f>B114*C114</x:f>
        <x:v>31030</x:v>
      </x:c>
      <x:c r="G114" s="12" t="n">
        <x:f>F114/'客户小时分布'!$C$6</x:f>
        <x:v>0.0025316340029041587</x:v>
      </x:c>
      <x:c r="H114" s="12" t="n">
        <x:f>SUM($C$8:C114)/'客户小时分布'!$C$8</x:f>
        <x:v>0.9863589773625794</x:v>
      </x:c>
    </x:row>
    <x:row r="115" ht="22" customHeight="1">
      <x:c r="A115" s="2"/>
      <x:c r="B115" s="8" t="n">
        <x:v>108</x:v>
      </x:c>
      <x:c r="C115" s="8" t="n">
        <x:v>261</x:v>
      </x:c>
      <x:c r="D115" s="12" t="n">
        <x:f>C115/'客户小时分布'!$C$8</x:f>
        <x:v>0.00038217120098398103</x:v>
      </x:c>
      <x:c r="E115" s="12" t="n">
        <x:f>C115/'客户小时分布'!$C$10</x:f>
        <x:v>0.00003508064516129032</x:v>
      </x:c>
      <x:c r="F115" s="8" t="n">
        <x:f>B115*C115</x:f>
        <x:v>28188</x:v>
      </x:c>
      <x:c r="G115" s="12" t="n">
        <x:f>F115/'客户小时分布'!$C$6</x:f>
        <x:v>0.00229976472039518</x:v>
      </x:c>
      <x:c r="H115" s="12" t="n">
        <x:f>SUM($C$8:C115)/'客户小时分布'!$C$8</x:f>
        <x:v>0.9867411485635634</x:v>
      </x:c>
    </x:row>
    <x:row r="116" ht="22" customHeight="1">
      <x:c r="A116" s="2"/>
      <x:c r="B116" s="8" t="n">
        <x:v>109</x:v>
      </x:c>
      <x:c r="C116" s="8" t="n">
        <x:v>240</x:v>
      </x:c>
      <x:c r="D116" s="12" t="n">
        <x:f>C116/'客户小时分布'!$C$8</x:f>
        <x:v>0.00035142179400825843</x:v>
      </x:c>
      <x:c r="E116" s="12" t="n">
        <x:f>C116/'客户小时分布'!$C$10</x:f>
        <x:v>0.000032258064516129034</x:v>
      </x:c>
      <x:c r="F116" s="8" t="n">
        <x:f>B116*C116</x:f>
        <x:v>26160</x:v>
      </x:c>
      <x:c r="G116" s="12" t="n">
        <x:f>F116/'客户小时分布'!$C$6</x:f>
        <x:v>0.0021343069776336705</x:v>
      </x:c>
      <x:c r="H116" s="12" t="n">
        <x:f>SUM($C$8:C116)/'客户小时分布'!$C$8</x:f>
        <x:v>0.9870925703575717</x:v>
      </x:c>
    </x:row>
    <x:row r="117" ht="22" customHeight="1">
      <x:c r="A117" s="2"/>
      <x:c r="B117" s="8" t="n">
        <x:v>110</x:v>
      </x:c>
      <x:c r="C117" s="8" t="n">
        <x:v>247</x:v>
      </x:c>
      <x:c r="D117" s="12" t="n">
        <x:f>C117/'客户小时分布'!$C$8</x:f>
        <x:v>0.0003616715963334993</x:v>
      </x:c>
      <x:c r="E117" s="12" t="n">
        <x:f>C117/'客户小时分布'!$C$10</x:f>
        <x:v>0.0000331989247311828</x:v>
      </x:c>
      <x:c r="F117" s="8" t="n">
        <x:f>B117*C117</x:f>
        <x:v>27170</x:v>
      </x:c>
      <x:c r="G117" s="12" t="n">
        <x:f>F117/'客户小时分布'!$C$6</x:f>
        <x:v>0.0022167095023817593</x:v>
      </x:c>
      <x:c r="H117" s="12" t="n">
        <x:f>SUM($C$8:C117)/'客户小时分布'!$C$8</x:f>
        <x:v>0.9874542419539052</x:v>
      </x:c>
    </x:row>
    <x:row r="118" ht="22" customHeight="1">
      <x:c r="A118" s="2"/>
      <x:c r="B118" s="8" t="n">
        <x:v>111</x:v>
      </x:c>
      <x:c r="C118" s="8" t="n">
        <x:v>231</x:v>
      </x:c>
      <x:c r="D118" s="12" t="n">
        <x:f>C118/'客户小时分布'!$C$8</x:f>
        <x:v>0.0003382434767329487</x:v>
      </x:c>
      <x:c r="E118" s="12" t="n">
        <x:f>C118/'客户小时分布'!$C$10</x:f>
        <x:v>0.000031048387096774195</x:v>
      </x:c>
      <x:c r="F118" s="8" t="n">
        <x:f>B118*C118</x:f>
        <x:v>25641</x:v>
      </x:c>
      <x:c r="G118" s="12" t="n">
        <x:f>F118/'客户小时分布'!$C$6</x:f>
        <x:v>0.002091963502045296</x:v>
      </x:c>
      <x:c r="H118" s="12" t="n">
        <x:f>SUM($C$8:C118)/'客户小时分布'!$C$8</x:f>
        <x:v>0.9877924854306381</x:v>
      </x:c>
    </x:row>
    <x:row r="119" ht="22" customHeight="1">
      <x:c r="A119" s="2"/>
      <x:c r="B119" s="8" t="n">
        <x:v>112</x:v>
      </x:c>
      <x:c r="C119" s="8" t="n">
        <x:v>239</x:v>
      </x:c>
      <x:c r="D119" s="12" t="n">
        <x:f>C119/'客户小时分布'!$C$8</x:f>
        <x:v>0.000349957536533224</x:v>
      </x:c>
      <x:c r="E119" s="12" t="n">
        <x:f>C119/'客户小时分布'!$C$10</x:f>
        <x:v>0.0000321236559139785</x:v>
      </x:c>
      <x:c r="F119" s="8" t="n">
        <x:f>B119*C119</x:f>
        <x:v>26768</x:v>
      </x:c>
      <x:c r="G119" s="12" t="n">
        <x:f>F119/'客户小时分布'!$C$6</x:f>
        <x:v>0.0021839116657988568</x:v>
      </x:c>
      <x:c r="H119" s="12" t="n">
        <x:f>SUM($C$8:C119)/'客户小时分布'!$C$8</x:f>
        <x:v>0.9881424429671714</x:v>
      </x:c>
    </x:row>
    <x:row r="120" ht="22" customHeight="1">
      <x:c r="A120" s="2"/>
      <x:c r="B120" s="8" t="n">
        <x:v>113</x:v>
      </x:c>
      <x:c r="C120" s="8" t="n">
        <x:v>228</x:v>
      </x:c>
      <x:c r="D120" s="12" t="n">
        <x:f>C120/'客户小时分布'!$C$8</x:f>
        <x:v>0.0003338507043078455</x:v>
      </x:c>
      <x:c r="E120" s="12" t="n">
        <x:f>C120/'客户小时分布'!$C$10</x:f>
        <x:v>0.00003064516129032258</x:v>
      </x:c>
      <x:c r="F120" s="8" t="n">
        <x:f>B120*C120</x:f>
        <x:v>25764</x:v>
      </x:c>
      <x:c r="G120" s="12" t="n">
        <x:f>F120/'客户小时分布'!$C$6</x:f>
        <x:v>0.002101998660999766</x:v>
      </x:c>
      <x:c r="H120" s="12" t="n">
        <x:f>SUM($C$8:C120)/'客户小时分布'!$C$8</x:f>
        <x:v>0.9884762936714792</x:v>
      </x:c>
    </x:row>
    <x:row r="121" ht="22" customHeight="1">
      <x:c r="A121" s="2"/>
      <x:c r="B121" s="8" t="n">
        <x:v>114</x:v>
      </x:c>
      <x:c r="C121" s="8" t="n">
        <x:v>229</x:v>
      </x:c>
      <x:c r="D121" s="12" t="n">
        <x:f>C121/'客户小时分布'!$C$8</x:f>
        <x:v>0.0003353149617828799</x:v>
      </x:c>
      <x:c r="E121" s="12" t="n">
        <x:f>C121/'客户小时分布'!$C$10</x:f>
        <x:v>0.000030779569892473115</x:v>
      </x:c>
      <x:c r="F121" s="8" t="n">
        <x:f>B121*C121</x:f>
        <x:v>26106</x:v>
      </x:c>
      <x:c r="G121" s="12" t="n">
        <x:f>F121/'客户小时分布'!$C$6</x:f>
        <x:v>0.0021299012980926834</x:v>
      </x:c>
      <x:c r="H121" s="12" t="n">
        <x:f>SUM($C$8:C121)/'客户小时分布'!$C$8</x:f>
        <x:v>0.9888116086332621</x:v>
      </x:c>
    </x:row>
    <x:row r="122" ht="22" customHeight="1">
      <x:c r="A122" s="2"/>
      <x:c r="B122" s="8" t="n">
        <x:v>115</x:v>
      </x:c>
      <x:c r="C122" s="8" t="n">
        <x:v>246</x:v>
      </x:c>
      <x:c r="D122" s="12" t="n">
        <x:f>C122/'客户小时分布'!$C$8</x:f>
        <x:v>0.00036020733885846486</x:v>
      </x:c>
      <x:c r="E122" s="12" t="n">
        <x:f>C122/'客户小时分布'!$C$10</x:f>
        <x:v>0.00003306451612903226</x:v>
      </x:c>
      <x:c r="F122" s="8" t="n">
        <x:f>B122*C122</x:f>
        <x:v>28290</x:v>
      </x:c>
      <x:c r="G122" s="12" t="n">
        <x:f>F122/'客户小时分布'!$C$6</x:f>
        <x:v>0.002308086559528155</x:v>
      </x:c>
      <x:c r="H122" s="12" t="n">
        <x:f>SUM($C$8:C122)/'客户小时分布'!$C$8</x:f>
        <x:v>0.9891718159721206</x:v>
      </x:c>
    </x:row>
    <x:row r="123" ht="22" customHeight="1">
      <x:c r="A123" s="2"/>
      <x:c r="B123" s="8" t="n">
        <x:v>116</x:v>
      </x:c>
      <x:c r="C123" s="8" t="n">
        <x:v>203</x:v>
      </x:c>
      <x:c r="D123" s="12" t="n">
        <x:f>C123/'客户小时分布'!$C$8</x:f>
        <x:v>0.00029724426743198525</x:v>
      </x:c>
      <x:c r="E123" s="12" t="n">
        <x:f>C123/'客户小时分布'!$C$10</x:f>
        <x:v>0.00002728494623655914</x:v>
      </x:c>
      <x:c r="F123" s="8" t="n">
        <x:f>B123*C123</x:f>
        <x:v>23548</x:v>
      </x:c>
      <x:c r="G123" s="12" t="n">
        <x:f>F123/'客户小时分布'!$C$6</x:f>
        <x:v>0.001921202626502969</x:v>
      </x:c>
      <x:c r="H123" s="12" t="n">
        <x:f>SUM($C$8:C123)/'客户小时分布'!$C$8</x:f>
        <x:v>0.9894690602395525</x:v>
      </x:c>
    </x:row>
    <x:row r="124" ht="22" customHeight="1">
      <x:c r="A124" s="2"/>
      <x:c r="B124" s="8" t="n">
        <x:v>117</x:v>
      </x:c>
      <x:c r="C124" s="8" t="n">
        <x:v>197</x:v>
      </x:c>
      <x:c r="D124" s="12" t="n">
        <x:f>C124/'客户小时分布'!$C$8</x:f>
        <x:v>0.00028845872258177876</x:v>
      </x:c>
      <x:c r="E124" s="12" t="n">
        <x:f>C124/'客户小时分布'!$C$10</x:f>
        <x:v>0.000026478494623655913</x:v>
      </x:c>
      <x:c r="F124" s="8" t="n">
        <x:f>B124*C124</x:f>
        <x:v>23049</x:v>
      </x:c>
      <x:c r="G124" s="12" t="n">
        <x:f>F124/'客户小时分布'!$C$6</x:f>
        <x:v>0.0018804908840779231</x:v>
      </x:c>
      <x:c r="H124" s="12" t="n">
        <x:f>SUM($C$8:C124)/'客户小时分布'!$C$8</x:f>
        <x:v>0.9897575189621343</x:v>
      </x:c>
    </x:row>
    <x:row r="125" ht="22" customHeight="1">
      <x:c r="A125" s="2"/>
      <x:c r="B125" s="8" t="n">
        <x:v>118</x:v>
      </x:c>
      <x:c r="C125" s="8" t="n">
        <x:v>194</x:v>
      </x:c>
      <x:c r="D125" s="12" t="n">
        <x:f>C125/'客户小时分布'!$C$8</x:f>
        <x:v>0.0002840659501566756</x:v>
      </x:c>
      <x:c r="E125" s="12" t="n">
        <x:f>C125/'客户小时分布'!$C$10</x:f>
        <x:v>0.000026075268817204303</x:v>
      </x:c>
      <x:c r="F125" s="8" t="n">
        <x:f>B125*C125</x:f>
        <x:v>22892</x:v>
      </x:c>
      <x:c r="G125" s="12" t="n">
        <x:f>F125/'客户小时分布'!$C$6</x:f>
        <x:v>0.0018676817787457944</x:v>
      </x:c>
      <x:c r="H125" s="12" t="n">
        <x:f>SUM($C$8:C125)/'客户小时分布'!$C$8</x:f>
        <x:v>0.990041584912291</x:v>
      </x:c>
    </x:row>
    <x:row r="126" ht="22" customHeight="1">
      <x:c r="A126" s="2"/>
      <x:c r="B126" s="8" t="n">
        <x:v>119</x:v>
      </x:c>
      <x:c r="C126" s="8" t="n">
        <x:v>191</x:v>
      </x:c>
      <x:c r="D126" s="12" t="n">
        <x:f>C126/'客户小时分布'!$C$8</x:f>
        <x:v>0.00027967317773157233</x:v>
      </x:c>
      <x:c r="E126" s="12" t="n">
        <x:f>C126/'客户小时分布'!$C$10</x:f>
        <x:v>0.00002567204301075269</x:v>
      </x:c>
      <x:c r="F126" s="8" t="n">
        <x:f>B126*C126</x:f>
        <x:v>22729</x:v>
      </x:c>
      <x:c r="G126" s="12" t="n">
        <x:f>F126/'客户小时分布'!$C$6</x:f>
        <x:v>0.0018543831534646672</x:v>
      </x:c>
      <x:c r="H126" s="12" t="n">
        <x:f>SUM($C$8:C126)/'客户小时分布'!$C$8</x:f>
        <x:v>0.9903212580900226</x:v>
      </x:c>
    </x:row>
    <x:row r="127" ht="22" customHeight="1">
      <x:c r="A127" s="2"/>
      <x:c r="B127" s="8" t="n">
        <x:v>120</x:v>
      </x:c>
      <x:c r="C127" s="8" t="n">
        <x:v>174</x:v>
      </x:c>
      <x:c r="D127" s="12" t="n">
        <x:f>C127/'客户小时分布'!$C$8</x:f>
        <x:v>0.00025478080065598733</x:v>
      </x:c>
      <x:c r="E127" s="12" t="n">
        <x:f>C127/'客户小时分布'!$C$10</x:f>
        <x:v>0.00002338709677419355</x:v>
      </x:c>
      <x:c r="F127" s="8" t="n">
        <x:f>B127*C127</x:f>
        <x:v>20880</x:v>
      </x:c>
      <x:c r="G127" s="12" t="n">
        <x:f>F127/'客户小时分布'!$C$6</x:f>
        <x:v>0.0017035294225149478</x:v>
      </x:c>
      <x:c r="H127" s="12" t="n">
        <x:f>SUM($C$8:C127)/'客户小时分布'!$C$8</x:f>
        <x:v>0.9905760388906786</x:v>
      </x:c>
    </x:row>
    <x:row r="128" ht="22" customHeight="1">
      <x:c r="A128" s="2"/>
      <x:c r="B128" s="8" t="n">
        <x:v>121</x:v>
      </x:c>
      <x:c r="C128" s="8" t="n">
        <x:v>191</x:v>
      </x:c>
      <x:c r="D128" s="12" t="n">
        <x:f>C128/'客户小时分布'!$C$8</x:f>
        <x:v>0.00027967317773157233</x:v>
      </x:c>
      <x:c r="E128" s="12" t="n">
        <x:f>C128/'客户小时分布'!$C$10</x:f>
        <x:v>0.00002567204301075269</x:v>
      </x:c>
      <x:c r="F128" s="8" t="n">
        <x:f>B128*C128</x:f>
        <x:v>23111</x:v>
      </x:c>
      <x:c r="G128" s="12" t="n">
        <x:f>F128/'客户小时分布'!$C$6</x:f>
        <x:v>0.0018855492568842413</x:v>
      </x:c>
      <x:c r="H128" s="12" t="n">
        <x:f>SUM($C$8:C128)/'客户小时分布'!$C$8</x:f>
        <x:v>0.99085571206841</x:v>
      </x:c>
    </x:row>
    <x:row r="129" ht="22" customHeight="1">
      <x:c r="A129" s="2"/>
      <x:c r="B129" s="8" t="n">
        <x:v>122</x:v>
      </x:c>
      <x:c r="C129" s="8" t="n">
        <x:v>181</x:v>
      </x:c>
      <x:c r="D129" s="12" t="n">
        <x:f>C129/'客户小时分布'!$C$8</x:f>
        <x:v>0.00026503060298122824</x:v>
      </x:c>
      <x:c r="E129" s="12" t="n">
        <x:f>C129/'客户小时分布'!$C$10</x:f>
        <x:v>0.00002432795698924731</x:v>
      </x:c>
      <x:c r="F129" s="8" t="n">
        <x:f>B129*C129</x:f>
        <x:v>22082</x:v>
      </x:c>
      <x:c r="G129" s="12" t="n">
        <x:f>F129/'客户小时分布'!$C$6</x:f>
        <x:v>0.0018015965856309905</x:v>
      </x:c>
      <x:c r="H129" s="12" t="n">
        <x:f>SUM($C$8:C129)/'客户小时分布'!$C$8</x:f>
        <x:v>0.9911207426713914</x:v>
      </x:c>
    </x:row>
    <x:row r="130" ht="22" customHeight="1">
      <x:c r="A130" s="2"/>
      <x:c r="B130" s="8" t="n">
        <x:v>123</x:v>
      </x:c>
      <x:c r="C130" s="8" t="n">
        <x:v>159</x:v>
      </x:c>
      <x:c r="D130" s="12" t="n">
        <x:f>C130/'客户小时分布'!$C$8</x:f>
        <x:v>0.0002328169385304712</x:v>
      </x:c>
      <x:c r="E130" s="12" t="n">
        <x:f>C130/'客户小时分布'!$C$10</x:f>
        <x:v>0.000021370967741935483</x:v>
      </x:c>
      <x:c r="F130" s="8" t="n">
        <x:f>B130*C130</x:f>
        <x:v>19557</x:v>
      </x:c>
      <x:c r="G130" s="12" t="n">
        <x:f>F130/'客户小时分布'!$C$6</x:f>
        <x:v>0.001595590273760768</x:v>
      </x:c>
      <x:c r="H130" s="12" t="n">
        <x:f>SUM($C$8:C130)/'客户小时分布'!$C$8</x:f>
        <x:v>0.9913535596099218</x:v>
      </x:c>
    </x:row>
    <x:row r="131" ht="22" customHeight="1">
      <x:c r="A131" s="2"/>
      <x:c r="B131" s="8" t="n">
        <x:v>124</x:v>
      </x:c>
      <x:c r="C131" s="8" t="n">
        <x:v>138</x:v>
      </x:c>
      <x:c r="D131" s="12" t="n">
        <x:f>C131/'客户小时分布'!$C$8</x:f>
        <x:v>0.0002020675315547486</x:v>
      </x:c>
      <x:c r="E131" s="12" t="n">
        <x:f>C131/'客户小时分布'!$C$10</x:f>
        <x:v>0.000018548387096774193</x:v>
      </x:c>
      <x:c r="F131" s="8" t="n">
        <x:f>B131*C131</x:f>
        <x:v>17112</x:v>
      </x:c>
      <x:c r="G131" s="12" t="n">
        <x:f>F131/'客户小时分布'!$C$6</x:f>
        <x:v>0.0013961108945438597</x:v>
      </x:c>
      <x:c r="H131" s="12" t="n">
        <x:f>SUM($C$8:C131)/'客户小时分布'!$C$8</x:f>
        <x:v>0.9915556271414766</x:v>
      </x:c>
    </x:row>
    <x:row r="132" ht="22" customHeight="1">
      <x:c r="A132" s="2"/>
      <x:c r="B132" s="8" t="n">
        <x:v>125</x:v>
      </x:c>
      <x:c r="C132" s="8" t="n">
        <x:v>157</x:v>
      </x:c>
      <x:c r="D132" s="12" t="n">
        <x:f>C132/'客户小时分布'!$C$8</x:f>
        <x:v>0.00022988842358040237</x:v>
      </x:c>
      <x:c r="E132" s="12" t="n">
        <x:f>C132/'客户小时分布'!$C$10</x:f>
        <x:v>0.00002110215053763441</x:v>
      </x:c>
      <x:c r="F132" s="8" t="n">
        <x:f>B132*C132</x:f>
        <x:v>19625</x:v>
      </x:c>
      <x:c r="G132" s="12" t="n">
        <x:f>F132/'客户小时分布'!$C$6</x:f>
        <x:v>0.001601138166516085</x:v>
      </x:c>
      <x:c r="H132" s="12" t="n">
        <x:f>SUM($C$8:C132)/'客户小时分布'!$C$8</x:f>
        <x:v>0.991785515565057</x:v>
      </x:c>
    </x:row>
    <x:row r="133" ht="22" customHeight="1">
      <x:c r="A133" s="2"/>
      <x:c r="B133" s="8" t="n">
        <x:v>126</x:v>
      </x:c>
      <x:c r="C133" s="8" t="n">
        <x:v>157</x:v>
      </x:c>
      <x:c r="D133" s="12" t="n">
        <x:f>C133/'客户小时分布'!$C$8</x:f>
        <x:v>0.00022988842358040237</x:v>
      </x:c>
      <x:c r="E133" s="12" t="n">
        <x:f>C133/'客户小时分布'!$C$10</x:f>
        <x:v>0.00002110215053763441</x:v>
      </x:c>
      <x:c r="F133" s="8" t="n">
        <x:f>B133*C133</x:f>
        <x:v>19782</x:v>
      </x:c>
      <x:c r="G133" s="12" t="n">
        <x:f>F133/'客户小时分布'!$C$6</x:f>
        <x:v>0.0016139472718482136</x:v>
      </x:c>
      <x:c r="H133" s="12" t="n">
        <x:f>SUM($C$8:C133)/'客户小时分布'!$C$8</x:f>
        <x:v>0.9920154039886374</x:v>
      </x:c>
    </x:row>
    <x:row r="134" ht="22" customHeight="1">
      <x:c r="A134" s="2"/>
      <x:c r="B134" s="8" t="n">
        <x:v>127</x:v>
      </x:c>
      <x:c r="C134" s="8" t="n">
        <x:v>142</x:v>
      </x:c>
      <x:c r="D134" s="12" t="n">
        <x:f>C134/'客户小时分布'!$C$8</x:f>
        <x:v>0.00020792456145488623</x:v>
      </x:c>
      <x:c r="E134" s="12" t="n">
        <x:f>C134/'客户小时分布'!$C$10</x:f>
        <x:v>0.000019086021505376344</x:v>
      </x:c>
      <x:c r="F134" s="8" t="n">
        <x:f>B134*C134</x:f>
        <x:v>18034</x:v>
      </x:c>
      <x:c r="G134" s="12" t="n">
        <x:f>F134/'客户小时分布'!$C$6</x:f>
        <x:v>0.0014713337933733033</x:v>
      </x:c>
      <x:c r="H134" s="12" t="n">
        <x:f>SUM($C$8:C134)/'客户小时分布'!$C$8</x:f>
        <x:v>0.9922233285500922</x:v>
      </x:c>
    </x:row>
    <x:row r="135" ht="22" customHeight="1">
      <x:c r="A135" s="2"/>
      <x:c r="B135" s="8" t="n">
        <x:v>128</x:v>
      </x:c>
      <x:c r="C135" s="8" t="n">
        <x:v>154</x:v>
      </x:c>
      <x:c r="D135" s="12" t="n">
        <x:f>C135/'客户小时分布'!$C$8</x:f>
        <x:v>0.00022549565115529915</x:v>
      </x:c>
      <x:c r="E135" s="12" t="n">
        <x:f>C135/'客户小时分布'!$C$10</x:f>
        <x:v>0.000020698924731182796</x:v>
      </x:c>
      <x:c r="F135" s="8" t="n">
        <x:f>B135*C135</x:f>
        <x:v>19712</x:v>
      </x:c>
      <x:c r="G135" s="12" t="n">
        <x:f>F135/'客户小时分布'!$C$6</x:f>
        <x:v>0.0016082362057765638</x:v>
      </x:c>
      <x:c r="H135" s="12" t="n">
        <x:f>SUM($C$8:C135)/'客户小时分布'!$C$8</x:f>
        <x:v>0.9924488242012476</x:v>
      </x:c>
    </x:row>
    <x:row r="136" ht="22" customHeight="1">
      <x:c r="A136" s="2"/>
      <x:c r="B136" s="8" t="n">
        <x:v>129</x:v>
      </x:c>
      <x:c r="C136" s="8" t="n">
        <x:v>145</x:v>
      </x:c>
      <x:c r="D136" s="12" t="n">
        <x:f>C136/'客户小时分布'!$C$8</x:f>
        <x:v>0.00021231733387998945</x:v>
      </x:c>
      <x:c r="E136" s="12" t="n">
        <x:f>C136/'客户小时分布'!$C$10</x:f>
        <x:v>0.000019489247311827958</x:v>
      </x:c>
      <x:c r="F136" s="8" t="n">
        <x:f>B136*C136</x:f>
        <x:v>18705</x:v>
      </x:c>
      <x:c r="G136" s="12" t="n">
        <x:f>F136/'客户小时分布'!$C$6</x:f>
        <x:v>0.001526078441002974</x:v>
      </x:c>
      <x:c r="H136" s="12" t="n">
        <x:f>SUM($C$8:C136)/'客户小时分布'!$C$8</x:f>
        <x:v>0.9926611415351275</x:v>
      </x:c>
    </x:row>
    <x:row r="137" ht="22" customHeight="1">
      <x:c r="A137" s="2"/>
      <x:c r="B137" s="8" t="n">
        <x:v>130</x:v>
      </x:c>
      <x:c r="C137" s="8" t="n">
        <x:v>142</x:v>
      </x:c>
      <x:c r="D137" s="12" t="n">
        <x:f>C137/'客户小时分布'!$C$8</x:f>
        <x:v>0.00020792456145488623</x:v>
      </x:c>
      <x:c r="E137" s="12" t="n">
        <x:f>C137/'客户小时分布'!$C$10</x:f>
        <x:v>0.000019086021505376344</x:v>
      </x:c>
      <x:c r="F137" s="8" t="n">
        <x:f>B137*C137</x:f>
        <x:v>18460</x:v>
      </x:c>
      <x:c r="G137" s="12" t="n">
        <x:f>F137/'客户小时分布'!$C$6</x:f>
        <x:v>0.0015060897097522</x:v>
      </x:c>
      <x:c r="H137" s="12" t="n">
        <x:f>SUM($C$8:C137)/'客户小时分布'!$C$8</x:f>
        <x:v>0.9928690660965824</x:v>
      </x:c>
    </x:row>
    <x:row r="138" ht="22" customHeight="1">
      <x:c r="A138" s="2"/>
      <x:c r="B138" s="8" t="n">
        <x:v>131</x:v>
      </x:c>
      <x:c r="C138" s="8" t="n">
        <x:v>103</x:v>
      </x:c>
      <x:c r="D138" s="12" t="n">
        <x:f>C138/'客户小时分布'!$C$8</x:f>
        <x:v>0.00015081851992854425</x:v>
      </x:c>
      <x:c r="E138" s="12" t="n">
        <x:f>C138/'客户小时分布'!$C$10</x:f>
        <x:v>0.000013844086021505376</x:v>
      </x:c>
      <x:c r="F138" s="8" t="n">
        <x:f>B138*C138</x:f>
        <x:v>13493</x:v>
      </x:c>
      <x:c r="G138" s="12" t="n">
        <x:f>F138/'客户小时分布'!$C$6</x:f>
        <x:v>0.0011008487786395686</x:v>
      </x:c>
      <x:c r="H138" s="12" t="n">
        <x:f>SUM($C$8:C138)/'客户小时分布'!$C$8</x:f>
        <x:v>0.9930198846165109</x:v>
      </x:c>
    </x:row>
    <x:row r="139" ht="22" customHeight="1">
      <x:c r="A139" s="2"/>
      <x:c r="B139" s="8" t="n">
        <x:v>132</x:v>
      </x:c>
      <x:c r="C139" s="8" t="n">
        <x:v>110</x:v>
      </x:c>
      <x:c r="D139" s="12" t="n">
        <x:f>C139/'客户小时分布'!$C$8</x:f>
        <x:v>0.0001610683222537851</x:v>
      </x:c>
      <x:c r="E139" s="12" t="n">
        <x:f>C139/'客户小时分布'!$C$10</x:f>
        <x:v>0.00001478494623655914</x:v>
      </x:c>
      <x:c r="F139" s="8" t="n">
        <x:f>B139*C139</x:f>
        <x:v>14520</x:v>
      </x:c>
      <x:c r="G139" s="12" t="n">
        <x:f>F139/'客户小时分布'!$C$6</x:f>
        <x:v>0.0011846382765764868</x:v>
      </x:c>
      <x:c r="H139" s="12" t="n">
        <x:f>SUM($C$8:C139)/'客户小时分布'!$C$8</x:f>
        <x:v>0.9931809529387647</x:v>
      </x:c>
    </x:row>
    <x:row r="140" ht="22" customHeight="1">
      <x:c r="A140" s="2"/>
      <x:c r="B140" s="8" t="n">
        <x:v>133</x:v>
      </x:c>
      <x:c r="C140" s="8" t="n">
        <x:v>126</x:v>
      </x:c>
      <x:c r="D140" s="12" t="n">
        <x:f>C140/'客户小时分布'!$C$8</x:f>
        <x:v>0.00018449644185433568</x:v>
      </x:c>
      <x:c r="E140" s="12" t="n">
        <x:f>C140/'客户小时分布'!$C$10</x:f>
        <x:v>0.00001693548387096774</x:v>
      </x:c>
      <x:c r="F140" s="8" t="n">
        <x:f>B140*C140</x:f>
        <x:v>16758</x:v>
      </x:c>
      <x:c r="G140" s="12" t="n">
        <x:f>F140/'客户小时分布'!$C$6</x:f>
        <x:v>0.0013672292175529452</x:v>
      </x:c>
      <x:c r="H140" s="12" t="n">
        <x:f>SUM($C$8:C140)/'客户小时分布'!$C$8</x:f>
        <x:v>0.9933654493806191</x:v>
      </x:c>
    </x:row>
    <x:row r="141" ht="22" customHeight="1">
      <x:c r="A141" s="2"/>
      <x:c r="B141" s="8" t="n">
        <x:v>134</x:v>
      </x:c>
      <x:c r="C141" s="8" t="n">
        <x:v>124</x:v>
      </x:c>
      <x:c r="D141" s="12" t="n">
        <x:f>C141/'客户小时分布'!$C$8</x:f>
        <x:v>0.00018156792690426685</x:v>
      </x:c>
      <x:c r="E141" s="12" t="n">
        <x:f>C141/'客户小时分布'!$C$10</x:f>
        <x:v>0.000016666666666666667</x:v>
      </x:c>
      <x:c r="F141" s="8" t="n">
        <x:f>B141*C141</x:f>
        <x:v>16616</x:v>
      </x:c>
      <x:c r="G141" s="12" t="n">
        <x:f>F141/'客户小时分布'!$C$6</x:f>
        <x:v>0.001355643912093313</x:v>
      </x:c>
      <x:c r="H141" s="12" t="n">
        <x:f>SUM($C$8:C141)/'客户小时分布'!$C$8</x:f>
        <x:v>0.9935470173075234</x:v>
      </x:c>
    </x:row>
    <x:row r="142" ht="22" customHeight="1">
      <x:c r="A142" s="2"/>
      <x:c r="B142" s="8" t="n">
        <x:v>135</x:v>
      </x:c>
      <x:c r="C142" s="8" t="n">
        <x:v>118</x:v>
      </x:c>
      <x:c r="D142" s="12" t="n">
        <x:f>C142/'客户小时分布'!$C$8</x:f>
        <x:v>0.00017278238205406039</x:v>
      </x:c>
      <x:c r="E142" s="12" t="n">
        <x:f>C142/'客户小时分布'!$C$10</x:f>
        <x:v>0.00001586021505376344</x:v>
      </x:c>
      <x:c r="F142" s="8" t="n">
        <x:f>B142*C142</x:f>
        <x:v>15930</x:v>
      </x:c>
      <x:c r="G142" s="12" t="n">
        <x:f>F142/'客户小时分布'!$C$6</x:f>
        <x:v>0.0012996754645911456</x:v>
      </x:c>
      <x:c r="H142" s="12" t="n">
        <x:f>SUM($C$8:C142)/'客户小时分布'!$C$8</x:f>
        <x:v>0.9937197996895775</x:v>
      </x:c>
    </x:row>
    <x:row r="143" ht="22" customHeight="1">
      <x:c r="A143" s="2"/>
      <x:c r="B143" s="8" t="n">
        <x:v>136</x:v>
      </x:c>
      <x:c r="C143" s="8" t="n">
        <x:v>128</x:v>
      </x:c>
      <x:c r="D143" s="12" t="n">
        <x:f>C143/'客户小时分布'!$C$8</x:f>
        <x:v>0.00018742495680440448</x:v>
      </x:c>
      <x:c r="E143" s="12" t="n">
        <x:f>C143/'客户小时分布'!$C$10</x:f>
        <x:v>0.000017204301075268818</x:v>
      </x:c>
      <x:c r="F143" s="8" t="n">
        <x:f>B143*C143</x:f>
        <x:v>17408</x:v>
      </x:c>
      <x:c r="G143" s="12" t="n">
        <x:f>F143/'客户小时分布'!$C$6</x:f>
        <x:v>0.0014202605453611213</x:v>
      </x:c>
      <x:c r="H143" s="12" t="n">
        <x:f>SUM($C$8:C143)/'客户小时分布'!$C$8</x:f>
        <x:v>0.9939072246463818</x:v>
      </x:c>
    </x:row>
    <x:row r="144" ht="22" customHeight="1">
      <x:c r="A144" s="2"/>
      <x:c r="B144" s="8" t="n">
        <x:v>137</x:v>
      </x:c>
      <x:c r="C144" s="8" t="n">
        <x:v>112</x:v>
      </x:c>
      <x:c r="D144" s="12" t="n">
        <x:f>C144/'客户小时分布'!$C$8</x:f>
        <x:v>0.00016399683720385392</x:v>
      </x:c>
      <x:c r="E144" s="12" t="n">
        <x:f>C144/'客户小时分布'!$C$10</x:f>
        <x:v>0.000015053763440860215</x:v>
      </x:c>
      <x:c r="F144" s="8" t="n">
        <x:f>B144*C144</x:f>
        <x:v>15344</x:v>
      </x:c>
      <x:c r="G144" s="12" t="n">
        <x:f>F144/'客户小时分布'!$C$6</x:f>
        <x:v>0.0012518656829056207</x:v>
      </x:c>
      <x:c r="H144" s="12" t="n">
        <x:f>SUM($C$8:C144)/'客户小时分布'!$C$8</x:f>
        <x:v>0.9940712214835856</x:v>
      </x:c>
    </x:row>
    <x:row r="145" ht="22" customHeight="1">
      <x:c r="A145" s="2"/>
      <x:c r="B145" s="8" t="n">
        <x:v>138</x:v>
      </x:c>
      <x:c r="C145" s="8" t="n">
        <x:v>111</x:v>
      </x:c>
      <x:c r="D145" s="12" t="n">
        <x:f>C145/'客户小时分布'!$C$8</x:f>
        <x:v>0.0001625325797288195</x:v>
      </x:c>
      <x:c r="E145" s="12" t="n">
        <x:f>C145/'客户小时分布'!$C$10</x:f>
        <x:v>0.000014919354838709677</x:v>
      </x:c>
      <x:c r="F145" s="8" t="n">
        <x:f>B145*C145</x:f>
        <x:v>15318</x:v>
      </x:c>
      <x:c r="G145" s="12" t="n">
        <x:f>F145/'客户小时分布'!$C$6</x:f>
        <x:v>0.0012497444297932937</x:v>
      </x:c>
      <x:c r="H145" s="12" t="n">
        <x:f>SUM($C$8:C145)/'客户小时分布'!$C$8</x:f>
        <x:v>0.9942337540633145</x:v>
      </x:c>
    </x:row>
    <x:row r="146" ht="22" customHeight="1">
      <x:c r="A146" s="2"/>
      <x:c r="B146" s="8" t="n">
        <x:v>139</x:v>
      </x:c>
      <x:c r="C146" s="8" t="n">
        <x:v>100</x:v>
      </x:c>
      <x:c r="D146" s="12" t="n">
        <x:f>C146/'客户小时分布'!$C$8</x:f>
        <x:v>0.000146425747503441</x:v>
      </x:c>
      <x:c r="E146" s="12" t="n">
        <x:f>C146/'客户小时分布'!$C$10</x:f>
        <x:v>0.000013440860215053763</x:v>
      </x:c>
      <x:c r="F146" s="8" t="n">
        <x:f>B146*C146</x:f>
        <x:v>13900</x:v>
      </x:c>
      <x:c r="G146" s="12" t="n">
        <x:f>F146/'客户小时分布'!$C$6</x:f>
        <x:v>0.0011340545485133034</x:v>
      </x:c>
      <x:c r="H146" s="12" t="n">
        <x:f>SUM($C$8:C146)/'客户小时分布'!$C$8</x:f>
        <x:v>0.9943801798108179</x:v>
      </x:c>
    </x:row>
    <x:row r="147" ht="22" customHeight="1">
      <x:c r="A147" s="2"/>
      <x:c r="B147" s="8" t="n">
        <x:v>140</x:v>
      </x:c>
      <x:c r="C147" s="8" t="n">
        <x:v>101</x:v>
      </x:c>
      <x:c r="D147" s="12" t="n">
        <x:f>C147/'客户小时分布'!$C$8</x:f>
        <x:v>0.00014789000497847542</x:v>
      </x:c>
      <x:c r="E147" s="12" t="n">
        <x:f>C147/'客户小时分布'!$C$10</x:f>
        <x:v>0.0000135752688172043</x:v>
      </x:c>
      <x:c r="F147" s="8" t="n">
        <x:f>B147*C147</x:f>
        <x:v>14140</x:v>
      </x:c>
      <x:c r="G147" s="12" t="n">
        <x:f>F147/'客户小时分布'!$C$6</x:f>
        <x:v>0.0011536353464732454</x:v>
      </x:c>
      <x:c r="H147" s="12" t="n">
        <x:f>SUM($C$8:C147)/'客户小时分布'!$C$8</x:f>
        <x:v>0.9945280698157964</x:v>
      </x:c>
    </x:row>
    <x:row r="148" ht="22" customHeight="1">
      <x:c r="A148" s="2"/>
      <x:c r="B148" s="8" t="n">
        <x:v>141</x:v>
      </x:c>
      <x:c r="C148" s="8" t="n">
        <x:v>91</x:v>
      </x:c>
      <x:c r="D148" s="12" t="n">
        <x:f>C148/'客户小时分布'!$C$8</x:f>
        <x:v>0.00013324743022813133</x:v>
      </x:c>
      <x:c r="E148" s="12" t="n">
        <x:f>C148/'客户小时分布'!$C$10</x:f>
        <x:v>0.000012231182795698925</x:v>
      </x:c>
      <x:c r="F148" s="8" t="n">
        <x:f>B148*C148</x:f>
        <x:v>12831</x:v>
      </x:c>
      <x:c r="G148" s="12" t="n">
        <x:f>F148/'客户小时分布'!$C$6</x:f>
        <x:v>0.0010468384109333954</x:v>
      </x:c>
      <x:c r="H148" s="12" t="n">
        <x:f>SUM($C$8:C148)/'客户小时分布'!$C$8</x:f>
        <x:v>0.9946613172460246</x:v>
      </x:c>
    </x:row>
    <x:row r="149" ht="22" customHeight="1">
      <x:c r="A149" s="2"/>
      <x:c r="B149" s="8" t="n">
        <x:v>142</x:v>
      </x:c>
      <x:c r="C149" s="8" t="n">
        <x:v>98</x:v>
      </x:c>
      <x:c r="D149" s="12" t="n">
        <x:f>C149/'客户小时分布'!$C$8</x:f>
        <x:v>0.00014349723255337217</x:v>
      </x:c>
      <x:c r="E149" s="12" t="n">
        <x:f>C149/'客户小时分布'!$C$10</x:f>
        <x:v>0.000013172043010752688</x:v>
      </x:c>
      <x:c r="F149" s="8" t="n">
        <x:f>B149*C149</x:f>
        <x:v>13916</x:v>
      </x:c>
      <x:c r="G149" s="12" t="n">
        <x:f>F149/'客户小时分布'!$C$6</x:f>
        <x:v>0.0011353599350439661</x:v>
      </x:c>
      <x:c r="H149" s="12" t="n">
        <x:f>SUM($C$8:C149)/'客户小时分布'!$C$8</x:f>
        <x:v>0.9948048144785779</x:v>
      </x:c>
    </x:row>
    <x:row r="150" ht="22" customHeight="1">
      <x:c r="A150" s="2"/>
      <x:c r="B150" s="8" t="n">
        <x:v>143</x:v>
      </x:c>
      <x:c r="C150" s="8" t="n">
        <x:v>87</x:v>
      </x:c>
      <x:c r="D150" s="12" t="n">
        <x:f>C150/'客户小时分布'!$C$8</x:f>
        <x:v>0.00012739040032799367</x:v>
      </x:c>
      <x:c r="E150" s="12" t="n">
        <x:f>C150/'客户小时分布'!$C$10</x:f>
        <x:v>0.000011693548387096775</x:v>
      </x:c>
      <x:c r="F150" s="8" t="n">
        <x:f>B150*C150</x:f>
        <x:v>12441</x:v>
      </x:c>
      <x:c r="G150" s="12" t="n">
        <x:f>F150/'客户小时分布'!$C$6</x:f>
        <x:v>0.0010150196142484898</x:v>
      </x:c>
      <x:c r="H150" s="12" t="n">
        <x:f>SUM($C$8:C150)/'客户小时分布'!$C$8</x:f>
        <x:v>0.9949322048789059</x:v>
      </x:c>
    </x:row>
    <x:row r="151" ht="22" customHeight="1">
      <x:c r="A151" s="2"/>
      <x:c r="B151" s="8" t="n">
        <x:v>144</x:v>
      </x:c>
      <x:c r="C151" s="8" t="n">
        <x:v>95</x:v>
      </x:c>
      <x:c r="D151" s="12" t="n">
        <x:f>C151/'客户小时分布'!$C$8</x:f>
        <x:v>0.00013910446012826896</x:v>
      </x:c>
      <x:c r="E151" s="12" t="n">
        <x:f>C151/'客户小时分布'!$C$10</x:f>
        <x:v>0.000012768817204301076</x:v>
      </x:c>
      <x:c r="F151" s="8" t="n">
        <x:f>B151*C151</x:f>
        <x:v>13680</x:v>
      </x:c>
      <x:c r="G151" s="12" t="n">
        <x:f>F151/'客户小时分布'!$C$6</x:f>
        <x:v>0.00111610548371669</x:v>
      </x:c>
      <x:c r="H151" s="12" t="n">
        <x:f>SUM($C$8:C151)/'客户小时分布'!$C$8</x:f>
        <x:v>0.9950713093390342</x:v>
      </x:c>
    </x:row>
    <x:row r="152" ht="22" customHeight="1">
      <x:c r="A152" s="2"/>
      <x:c r="B152" s="8" t="n">
        <x:v>145</x:v>
      </x:c>
      <x:c r="C152" s="8" t="n">
        <x:v>85</x:v>
      </x:c>
      <x:c r="D152" s="12" t="n">
        <x:f>C152/'客户小时分布'!$C$8</x:f>
        <x:v>0.00012446188537792486</x:v>
      </x:c>
      <x:c r="E152" s="12" t="n">
        <x:f>C152/'客户小时分布'!$C$10</x:f>
        <x:v>0.0000114247311827957</x:v>
      </x:c>
      <x:c r="F152" s="8" t="n">
        <x:f>B152*C152</x:f>
        <x:v>12325</x:v>
      </x:c>
      <x:c r="G152" s="12" t="n">
        <x:f>F152/'客户小时分布'!$C$6</x:f>
        <x:v>0.0010055555619011844</x:v>
      </x:c>
      <x:c r="H152" s="12" t="n">
        <x:f>SUM($C$8:C152)/'客户小时分布'!$C$8</x:f>
        <x:v>0.995195771224412</x:v>
      </x:c>
    </x:row>
    <x:row r="153" ht="22" customHeight="1">
      <x:c r="A153" s="2"/>
      <x:c r="B153" s="8" t="n">
        <x:v>146</x:v>
      </x:c>
      <x:c r="C153" s="8" t="n">
        <x:v>72</x:v>
      </x:c>
      <x:c r="D153" s="12" t="n">
        <x:f>C153/'客户小时分布'!$C$8</x:f>
        <x:v>0.00010542653820247753</x:v>
      </x:c>
      <x:c r="E153" s="12" t="n">
        <x:f>C153/'客户小时分布'!$C$10</x:f>
        <x:v>0.00000967741935483871</x:v>
      </x:c>
      <x:c r="F153" s="8" t="n">
        <x:f>B153*C153</x:f>
        <x:v>10512</x:v>
      </x:c>
      <x:c r="G153" s="12" t="n">
        <x:f>F153/'客户小时分布'!$C$6</x:f>
        <x:v>0.0008576389506454565</x:v>
      </x:c>
      <x:c r="H153" s="12" t="n">
        <x:f>SUM($C$8:C153)/'客户小时分布'!$C$8</x:f>
        <x:v>0.9953011977626146</x:v>
      </x:c>
    </x:row>
    <x:row r="154" ht="22" customHeight="1">
      <x:c r="A154" s="2"/>
      <x:c r="B154" s="8" t="n">
        <x:v>147</x:v>
      </x:c>
      <x:c r="C154" s="8" t="n">
        <x:v>93</x:v>
      </x:c>
      <x:c r="D154" s="12" t="n">
        <x:f>C154/'客户小时分布'!$C$8</x:f>
        <x:v>0.00013617594517820013</x:v>
      </x:c>
      <x:c r="E154" s="12" t="n">
        <x:f>C154/'客户小时分布'!$C$10</x:f>
        <x:v>0.0000125</x:v>
      </x:c>
      <x:c r="F154" s="8" t="n">
        <x:f>B154*C154</x:f>
        <x:v>13671</x:v>
      </x:c>
      <x:c r="G154" s="12" t="n">
        <x:f>F154/'客户小时分布'!$C$6</x:f>
        <x:v>0.0011153712037931922</x:v>
      </x:c>
      <x:c r="H154" s="12" t="n">
        <x:f>SUM($C$8:C154)/'客户小时分布'!$C$8</x:f>
        <x:v>0.9954373737077927</x:v>
      </x:c>
    </x:row>
    <x:row r="155" ht="22" customHeight="1">
      <x:c r="A155" s="2"/>
      <x:c r="B155" s="8" t="n">
        <x:v>148</x:v>
      </x:c>
      <x:c r="C155" s="8" t="n">
        <x:v>111</x:v>
      </x:c>
      <x:c r="D155" s="12" t="n">
        <x:f>C155/'客户小时分布'!$C$8</x:f>
        <x:v>0.0001625325797288195</x:v>
      </x:c>
      <x:c r="E155" s="12" t="n">
        <x:f>C155/'客户小时分布'!$C$10</x:f>
        <x:v>0.000014919354838709677</x:v>
      </x:c>
      <x:c r="F155" s="8" t="n">
        <x:f>B155*C155</x:f>
        <x:v>16428</x:v>
      </x:c>
      <x:c r="G155" s="12" t="n">
        <x:f>F155/'客户小时分布'!$C$6</x:f>
        <x:v>0.0013403056203580251</x:v>
      </x:c>
      <x:c r="H155" s="12" t="n">
        <x:f>SUM($C$8:C155)/'客户小时分布'!$C$8</x:f>
        <x:v>0.9955999062875216</x:v>
      </x:c>
    </x:row>
    <x:row r="156" ht="22" customHeight="1">
      <x:c r="A156" s="2"/>
      <x:c r="B156" s="8" t="n">
        <x:v>149</x:v>
      </x:c>
      <x:c r="C156" s="8" t="n">
        <x:v>77</x:v>
      </x:c>
      <x:c r="D156" s="12" t="n">
        <x:f>C156/'客户小时分布'!$C$8</x:f>
        <x:v>0.00011274782557764957</x:v>
      </x:c>
      <x:c r="E156" s="12" t="n">
        <x:f>C156/'客户小时分布'!$C$10</x:f>
        <x:v>0.000010349462365591398</x:v>
      </x:c>
      <x:c r="F156" s="8" t="n">
        <x:f>B156*C156</x:f>
        <x:v>11473</x:v>
      </x:c>
      <x:c r="G156" s="12" t="n">
        <x:f>F156/'客户小时分布'!$C$6</x:f>
        <x:v>0.0009360437291433906</x:v>
      </x:c>
      <x:c r="H156" s="12" t="n">
        <x:f>SUM($C$8:C156)/'客户小时分布'!$C$8</x:f>
        <x:v>0.9957126541130993</x:v>
      </x:c>
    </x:row>
    <x:row r="157" ht="22" customHeight="1">
      <x:c r="A157" s="2"/>
      <x:c r="B157" s="8" t="n">
        <x:v>150</x:v>
      </x:c>
      <x:c r="C157" s="8" t="n">
        <x:v>74</x:v>
      </x:c>
      <x:c r="D157" s="12" t="n">
        <x:f>C157/'客户小时分布'!$C$8</x:f>
        <x:v>0.00010835505315254634</x:v>
      </x:c>
      <x:c r="E157" s="12" t="n">
        <x:f>C157/'客户小时分布'!$C$10</x:f>
        <x:v>0.000009946236559139786</x:v>
      </x:c>
      <x:c r="F157" s="8" t="n">
        <x:f>B157*C157</x:f>
        <x:v>11100</x:v>
      </x:c>
      <x:c r="G157" s="12" t="n">
        <x:f>F157/'客户小时分布'!$C$6</x:f>
        <x:v>0.0009056119056473143</x:v>
      </x:c>
      <x:c r="H157" s="12" t="n">
        <x:f>SUM($C$8:C157)/'客户小时分布'!$C$8</x:f>
        <x:v>0.9958210091662518</x:v>
      </x:c>
    </x:row>
    <x:row r="158" ht="22" customHeight="1">
      <x:c r="A158" s="2"/>
      <x:c r="B158" s="8" t="n">
        <x:v>151</x:v>
      </x:c>
      <x:c r="C158" s="8" t="n">
        <x:v>69</x:v>
      </x:c>
      <x:c r="D158" s="12" t="n">
        <x:f>C158/'客户小时分布'!$C$8</x:f>
        <x:v>0.0001010337657773743</x:v>
      </x:c>
      <x:c r="E158" s="12" t="n">
        <x:f>C158/'客户小时分布'!$C$10</x:f>
        <x:v>0.000009274193548387097</x:v>
      </x:c>
      <x:c r="F158" s="8" t="n">
        <x:f>B158*C158</x:f>
        <x:v>10419</x:v>
      </x:c>
      <x:c r="G158" s="12" t="n">
        <x:f>F158/'客户小时分布'!$C$6</x:f>
        <x:v>0.000850051391435979</x:v>
      </x:c>
      <x:c r="H158" s="12" t="n">
        <x:f>SUM($C$8:C158)/'客户小时分布'!$C$8</x:f>
        <x:v>0.9959220429320291</x:v>
      </x:c>
    </x:row>
    <x:row r="159" ht="22" customHeight="1">
      <x:c r="A159" s="2"/>
      <x:c r="B159" s="8" t="n">
        <x:v>152</x:v>
      </x:c>
      <x:c r="C159" s="8" t="n">
        <x:v>73</x:v>
      </x:c>
      <x:c r="D159" s="12" t="n">
        <x:f>C159/'客户小时分布'!$C$8</x:f>
        <x:v>0.00010689079567751193</x:v>
      </x:c>
      <x:c r="E159" s="12" t="n">
        <x:f>C159/'客户小时分布'!$C$10</x:f>
        <x:v>0.000009811827956989247</x:v>
      </x:c>
      <x:c r="F159" s="8" t="n">
        <x:f>B159*C159</x:f>
        <x:v>11096</x:v>
      </x:c>
      <x:c r="G159" s="12" t="n">
        <x:f>F159/'客户小时分布'!$C$6</x:f>
        <x:v>0.0009052855590146485</x:v>
      </x:c>
      <x:c r="H159" s="12" t="n">
        <x:f>SUM($C$8:C159)/'客户小时分布'!$C$8</x:f>
        <x:v>0.9960289337277067</x:v>
      </x:c>
    </x:row>
    <x:row r="160" ht="22" customHeight="1">
      <x:c r="A160" s="2"/>
      <x:c r="B160" s="8" t="n">
        <x:v>153</x:v>
      </x:c>
      <x:c r="C160" s="8" t="n">
        <x:v>81</x:v>
      </x:c>
      <x:c r="D160" s="12" t="n">
        <x:f>C160/'客户小时分布'!$C$8</x:f>
        <x:v>0.00011860485547778722</x:v>
      </x:c>
      <x:c r="E160" s="12" t="n">
        <x:f>C160/'客户小时分布'!$C$10</x:f>
        <x:v>0.000010887096774193549</x:v>
      </x:c>
      <x:c r="F160" s="8" t="n">
        <x:f>B160*C160</x:f>
        <x:v>12393</x:v>
      </x:c>
      <x:c r="G160" s="12" t="n">
        <x:f>F160/'客户小时分布'!$C$6</x:f>
        <x:v>0.0010111034546565014</x:v>
      </x:c>
      <x:c r="H160" s="12" t="n">
        <x:f>SUM($C$8:C160)/'客户小时分布'!$C$8</x:f>
        <x:v>0.9961475385831845</x:v>
      </x:c>
    </x:row>
    <x:row r="161" ht="22" customHeight="1">
      <x:c r="A161" s="2"/>
      <x:c r="B161" s="8" t="n">
        <x:v>154</x:v>
      </x:c>
      <x:c r="C161" s="8" t="n">
        <x:v>75</x:v>
      </x:c>
      <x:c r="D161" s="12" t="n">
        <x:f>C161/'客户小时分布'!$C$8</x:f>
        <x:v>0.00010981931062758076</x:v>
      </x:c>
      <x:c r="E161" s="12" t="n">
        <x:f>C161/'客户小时分布'!$C$10</x:f>
        <x:v>0.000010080645161290323</x:v>
      </x:c>
      <x:c r="F161" s="8" t="n">
        <x:f>B161*C161</x:f>
        <x:v>11550</x:v>
      </x:c>
      <x:c r="G161" s="12" t="n">
        <x:f>F161/'客户小时分布'!$C$6</x:f>
        <x:v>0.0009423259018222054</x:v>
      </x:c>
      <x:c r="H161" s="12" t="n">
        <x:f>SUM($C$8:C161)/'客户小时分布'!$C$8</x:f>
        <x:v>0.9962573578938121</x:v>
      </x:c>
    </x:row>
    <x:row r="162" ht="22" customHeight="1">
      <x:c r="A162" s="2"/>
      <x:c r="B162" s="8" t="n">
        <x:v>155</x:v>
      </x:c>
      <x:c r="C162" s="8" t="n">
        <x:v>63</x:v>
      </x:c>
      <x:c r="D162" s="12" t="n">
        <x:f>C162/'客户小时分布'!$C$8</x:f>
        <x:v>0.00009224822092716784</x:v>
      </x:c>
      <x:c r="E162" s="12" t="n">
        <x:f>C162/'客户小时分布'!$C$10</x:f>
        <x:v>0.00000846774193548387</x:v>
      </x:c>
      <x:c r="F162" s="8" t="n">
        <x:f>B162*C162</x:f>
        <x:v>9765</x:v>
      </x:c>
      <x:c r="G162" s="12" t="n">
        <x:f>F162/'客户小时分布'!$C$6</x:f>
        <x:v>0.0007966937169951373</x:v>
      </x:c>
      <x:c r="H162" s="12" t="n">
        <x:f>SUM($C$8:C162)/'客户小时分布'!$C$8</x:f>
        <x:v>0.9963496061147392</x:v>
      </x:c>
    </x:row>
    <x:row r="163" ht="22" customHeight="1">
      <x:c r="A163" s="2"/>
      <x:c r="B163" s="8" t="n">
        <x:v>156</x:v>
      </x:c>
      <x:c r="C163" s="8" t="n">
        <x:v>55</x:v>
      </x:c>
      <x:c r="D163" s="12" t="n">
        <x:f>C163/'客户小时分布'!$C$8</x:f>
        <x:v>0.00008053416112689255</x:v>
      </x:c>
      <x:c r="E163" s="12" t="n">
        <x:f>C163/'客户小时分布'!$C$10</x:f>
        <x:v>0.00000739247311827957</x:v>
      </x:c>
      <x:c r="F163" s="8" t="n">
        <x:f>B163*C163</x:f>
        <x:v>8580</x:v>
      </x:c>
      <x:c r="G163" s="12" t="n">
        <x:f>F163/'客户小时分布'!$C$6</x:f>
        <x:v>0.000700013527067924</x:v>
      </x:c>
      <x:c r="H163" s="12" t="n">
        <x:f>SUM($C$8:C163)/'客户小时分布'!$C$8</x:f>
        <x:v>0.9964301402758661</x:v>
      </x:c>
    </x:row>
    <x:row r="164" ht="22" customHeight="1">
      <x:c r="A164" s="2"/>
      <x:c r="B164" s="8" t="n">
        <x:v>157</x:v>
      </x:c>
      <x:c r="C164" s="8" t="n">
        <x:v>64</x:v>
      </x:c>
      <x:c r="D164" s="12" t="n">
        <x:f>C164/'客户小时分布'!$C$8</x:f>
        <x:v>0.00009371247840220224</x:v>
      </x:c>
      <x:c r="E164" s="12" t="n">
        <x:f>C164/'客户小时分布'!$C$10</x:f>
        <x:v>0.000008602150537634409</x:v>
      </x:c>
      <x:c r="F164" s="8" t="n">
        <x:f>B164*C164</x:f>
        <x:v>10048</x:v>
      </x:c>
      <x:c r="G164" s="12" t="n">
        <x:f>F164/'客户小时分布'!$C$6</x:f>
        <x:v>0.0008197827412562354</x:v>
      </x:c>
      <x:c r="H164" s="12" t="n">
        <x:f>SUM($C$8:C164)/'客户小时分布'!$C$8</x:f>
        <x:v>0.9965238527542684</x:v>
      </x:c>
    </x:row>
    <x:row r="165" ht="22" customHeight="1">
      <x:c r="A165" s="2"/>
      <x:c r="B165" s="8" t="n">
        <x:v>158</x:v>
      </x:c>
      <x:c r="C165" s="8" t="n">
        <x:v>64</x:v>
      </x:c>
      <x:c r="D165" s="12" t="n">
        <x:f>C165/'客户小时分布'!$C$8</x:f>
        <x:v>0.00009371247840220224</x:v>
      </x:c>
      <x:c r="E165" s="12" t="n">
        <x:f>C165/'客户小时分布'!$C$10</x:f>
        <x:v>0.000008602150537634409</x:v>
      </x:c>
      <x:c r="F165" s="8" t="n">
        <x:f>B165*C165</x:f>
        <x:v>10112</x:v>
      </x:c>
      <x:c r="G165" s="12" t="n">
        <x:f>F165/'客户小时分布'!$C$6</x:f>
        <x:v>0.0008250042873788867</x:v>
      </x:c>
      <x:c r="H165" s="12" t="n">
        <x:f>SUM($C$8:C165)/'客户小时分布'!$C$8</x:f>
        <x:v>0.9966175652326705</x:v>
      </x:c>
    </x:row>
    <x:row r="166" ht="22" customHeight="1">
      <x:c r="A166" s="2"/>
      <x:c r="B166" s="8" t="n">
        <x:v>159</x:v>
      </x:c>
      <x:c r="C166" s="8" t="n">
        <x:v>72</x:v>
      </x:c>
      <x:c r="D166" s="12" t="n">
        <x:f>C166/'客户小时分布'!$C$8</x:f>
        <x:v>0.00010542653820247753</x:v>
      </x:c>
      <x:c r="E166" s="12" t="n">
        <x:f>C166/'客户小时分布'!$C$10</x:f>
        <x:v>0.00000967741935483871</x:v>
      </x:c>
      <x:c r="F166" s="8" t="n">
        <x:f>B166*C166</x:f>
        <x:v>11448</x:v>
      </x:c>
      <x:c r="G166" s="12" t="n">
        <x:f>F166/'客户小时分布'!$C$6</x:f>
        <x:v>0.0009340040626892301</x:v>
      </x:c>
      <x:c r="H166" s="12" t="n">
        <x:f>SUM($C$8:C166)/'客户小时分布'!$C$8</x:f>
        <x:v>0.996722991770873</x:v>
      </x:c>
    </x:row>
    <x:row r="167" ht="22" customHeight="1">
      <x:c r="A167" s="2"/>
      <x:c r="B167" s="8" t="n">
        <x:v>160</x:v>
      </x:c>
      <x:c r="C167" s="8" t="n">
        <x:v>58</x:v>
      </x:c>
      <x:c r="D167" s="12" t="n">
        <x:f>C167/'客户小时分布'!$C$8</x:f>
        <x:v>0.00008492693355199578</x:v>
      </x:c>
      <x:c r="E167" s="12" t="n">
        <x:f>C167/'客户小时分布'!$C$10</x:f>
        <x:v>0.000007795698924731183</x:v>
      </x:c>
      <x:c r="F167" s="8" t="n">
        <x:f>B167*C167</x:f>
        <x:v>9280</x:v>
      </x:c>
      <x:c r="G167" s="12" t="n">
        <x:f>F167/'客户小时分布'!$C$6</x:f>
        <x:v>0.0007571241877844213</x:v>
      </x:c>
      <x:c r="H167" s="12" t="n">
        <x:f>SUM($C$8:C167)/'客户小时分布'!$C$8</x:f>
        <x:v>0.996807918704425</x:v>
      </x:c>
    </x:row>
    <x:row r="168" ht="22" customHeight="1">
      <x:c r="A168" s="2"/>
      <x:c r="B168" s="8" t="n">
        <x:v>161</x:v>
      </x:c>
      <x:c r="C168" s="8" t="n">
        <x:v>57</x:v>
      </x:c>
      <x:c r="D168" s="12" t="n">
        <x:f>C168/'客户小时分布'!$C$8</x:f>
        <x:v>0.00008346267607696138</x:v>
      </x:c>
      <x:c r="E168" s="12" t="n">
        <x:f>C168/'客户小时分布'!$C$10</x:f>
        <x:v>0.000007661290322580645</x:v>
      </x:c>
      <x:c r="F168" s="8" t="n">
        <x:f>B168*C168</x:f>
        <x:v>9177</x:v>
      </x:c>
      <x:c r="G168" s="12" t="n">
        <x:f>F168/'客户小时分布'!$C$6</x:f>
        <x:v>0.0007487207619932796</x:v>
      </x:c>
      <x:c r="H168" s="12" t="n">
        <x:f>SUM($C$8:C168)/'客户小时分布'!$C$8</x:f>
        <x:v>0.9968913813805019</x:v>
      </x:c>
    </x:row>
    <x:row r="169" ht="22" customHeight="1">
      <x:c r="A169" s="2"/>
      <x:c r="B169" s="8" t="n">
        <x:v>162</x:v>
      </x:c>
      <x:c r="C169" s="8" t="n">
        <x:v>58</x:v>
      </x:c>
      <x:c r="D169" s="12" t="n">
        <x:f>C169/'客户小时分布'!$C$8</x:f>
        <x:v>0.00008492693355199578</x:v>
      </x:c>
      <x:c r="E169" s="12" t="n">
        <x:f>C169/'客户小时分布'!$C$10</x:f>
        <x:v>0.000007795698924731183</x:v>
      </x:c>
      <x:c r="F169" s="8" t="n">
        <x:f>B169*C169</x:f>
        <x:v>9396</x:v>
      </x:c>
      <x:c r="G169" s="12" t="n">
        <x:f>F169/'客户小时分布'!$C$6</x:f>
        <x:v>0.0007665882401317266</x:v>
      </x:c>
      <x:c r="H169" s="12" t="n">
        <x:f>SUM($C$8:C169)/'客户小时分布'!$C$8</x:f>
        <x:v>0.9969763083140539</x:v>
      </x:c>
    </x:row>
    <x:row r="170" ht="22" customHeight="1">
      <x:c r="A170" s="2"/>
      <x:c r="B170" s="8" t="n">
        <x:v>163</x:v>
      </x:c>
      <x:c r="C170" s="8" t="n">
        <x:v>52</x:v>
      </x:c>
      <x:c r="D170" s="12" t="n">
        <x:f>C170/'客户小时分布'!$C$8</x:f>
        <x:v>0.00007614138870178932</x:v>
      </x:c>
      <x:c r="E170" s="12" t="n">
        <x:f>C170/'客户小时分布'!$C$10</x:f>
        <x:v>0.000006989247311827957</x:v>
      </x:c>
      <x:c r="F170" s="8" t="n">
        <x:f>B170*C170</x:f>
        <x:v>8476</x:v>
      </x:c>
      <x:c r="G170" s="12" t="n">
        <x:f>F170/'客户小时分布'!$C$6</x:f>
        <x:v>0.0006915285146186158</x:v>
      </x:c>
      <x:c r="H170" s="12" t="n">
        <x:f>SUM($C$8:C170)/'客户小时分布'!$C$8</x:f>
        <x:v>0.9970524497027557</x:v>
      </x:c>
    </x:row>
    <x:row r="171" ht="22" customHeight="1">
      <x:c r="A171" s="2"/>
      <x:c r="B171" s="8" t="n">
        <x:v>164</x:v>
      </x:c>
      <x:c r="C171" s="8" t="n">
        <x:v>58</x:v>
      </x:c>
      <x:c r="D171" s="12" t="n">
        <x:f>C171/'客户小时分布'!$C$8</x:f>
        <x:v>0.00008492693355199578</x:v>
      </x:c>
      <x:c r="E171" s="12" t="n">
        <x:f>C171/'客户小时分布'!$C$10</x:f>
        <x:v>0.000007795698924731183</x:v>
      </x:c>
      <x:c r="F171" s="8" t="n">
        <x:f>B171*C171</x:f>
        <x:v>9512</x:v>
      </x:c>
      <x:c r="G171" s="12" t="n">
        <x:f>F171/'客户小时分布'!$C$6</x:f>
        <x:v>0.0007760522924790318</x:v>
      </x:c>
      <x:c r="H171" s="12" t="n">
        <x:f>SUM($C$8:C171)/'客户小时分布'!$C$8</x:f>
        <x:v>0.9971373766363077</x:v>
      </x:c>
    </x:row>
    <x:row r="172" ht="22" customHeight="1">
      <x:c r="A172" s="2"/>
      <x:c r="B172" s="8" t="n">
        <x:v>165</x:v>
      </x:c>
      <x:c r="C172" s="8" t="n">
        <x:v>52</x:v>
      </x:c>
      <x:c r="D172" s="12" t="n">
        <x:f>C172/'客户小时分布'!$C$8</x:f>
        <x:v>0.00007614138870178932</x:v>
      </x:c>
      <x:c r="E172" s="12" t="n">
        <x:f>C172/'客户小时分布'!$C$10</x:f>
        <x:v>0.000006989247311827957</x:v>
      </x:c>
      <x:c r="F172" s="8" t="n">
        <x:f>B172*C172</x:f>
        <x:v>8580</x:v>
      </x:c>
      <x:c r="G172" s="12" t="n">
        <x:f>F172/'客户小时分布'!$C$6</x:f>
        <x:v>0.000700013527067924</x:v>
      </x:c>
      <x:c r="H172" s="12" t="n">
        <x:f>SUM($C$8:C172)/'客户小时分布'!$C$8</x:f>
        <x:v>0.9972135180250096</x:v>
      </x:c>
    </x:row>
    <x:row r="173" ht="22" customHeight="1">
      <x:c r="A173" s="2"/>
      <x:c r="B173" s="8" t="n">
        <x:v>166</x:v>
      </x:c>
      <x:c r="C173" s="8" t="n">
        <x:v>35</x:v>
      </x:c>
      <x:c r="D173" s="12" t="n">
        <x:f>C173/'客户小时分布'!$C$8</x:f>
        <x:v>0.00005124901162620435</x:v>
      </x:c>
      <x:c r="E173" s="12" t="n">
        <x:f>C173/'客户小时分布'!$C$10</x:f>
        <x:v>0.0000047043010752688175</x:v>
      </x:c>
      <x:c r="F173" s="8" t="n">
        <x:f>B173*C173</x:f>
        <x:v>5810</x:v>
      </x:c>
      <x:c r="G173" s="12" t="n">
        <x:f>F173/'客户小时分布'!$C$6</x:f>
        <x:v>0.00047401848394692755</x:v>
      </x:c>
      <x:c r="H173" s="12" t="n">
        <x:f>SUM($C$8:C173)/'客户小时分布'!$C$8</x:f>
        <x:v>0.9972647670366357</x:v>
      </x:c>
    </x:row>
    <x:row r="174" ht="22" customHeight="1">
      <x:c r="A174" s="2"/>
      <x:c r="B174" s="8" t="n">
        <x:v>167</x:v>
      </x:c>
      <x:c r="C174" s="8" t="n">
        <x:v>55</x:v>
      </x:c>
      <x:c r="D174" s="12" t="n">
        <x:f>C174/'客户小时分布'!$C$8</x:f>
        <x:v>0.00008053416112689255</x:v>
      </x:c>
      <x:c r="E174" s="12" t="n">
        <x:f>C174/'客户小时分布'!$C$10</x:f>
        <x:v>0.00000739247311827957</x:v>
      </x:c>
      <x:c r="F174" s="8" t="n">
        <x:f>B174*C174</x:f>
        <x:v>9185</x:v>
      </x:c>
      <x:c r="G174" s="12" t="n">
        <x:f>F174/'客户小时分布'!$C$6</x:f>
        <x:v>0.000749373455258611</x:v>
      </x:c>
      <x:c r="H174" s="12" t="n">
        <x:f>SUM($C$8:C174)/'客户小时分布'!$C$8</x:f>
        <x:v>0.9973453011977627</x:v>
      </x:c>
    </x:row>
    <x:row r="175" ht="22" customHeight="1">
      <x:c r="A175" s="2"/>
      <x:c r="B175" s="8" t="n">
        <x:v>168</x:v>
      </x:c>
      <x:c r="C175" s="8" t="n">
        <x:v>49</x:v>
      </x:c>
      <x:c r="D175" s="12" t="n">
        <x:f>C175/'客户小时分布'!$C$8</x:f>
        <x:v>0.00007174861627668609</x:v>
      </x:c>
      <x:c r="E175" s="12" t="n">
        <x:f>C175/'客户小时分布'!$C$10</x:f>
        <x:v>0.000006586021505376344</x:v>
      </x:c>
      <x:c r="F175" s="8" t="n">
        <x:f>B175*C175</x:f>
        <x:v>8232</x:v>
      </x:c>
      <x:c r="G175" s="12" t="n">
        <x:f>F175/'客户小时分布'!$C$6</x:f>
        <x:v>0.0006716213700260082</x:v>
      </x:c>
      <x:c r="H175" s="12" t="n">
        <x:f>SUM($C$8:C175)/'客户小时分布'!$C$8</x:f>
        <x:v>0.9974170498140393</x:v>
      </x:c>
    </x:row>
    <x:row r="176" ht="22" customHeight="1">
      <x:c r="A176" s="2"/>
      <x:c r="B176" s="8" t="n">
        <x:v>169</x:v>
      </x:c>
      <x:c r="C176" s="8" t="n">
        <x:v>56</x:v>
      </x:c>
      <x:c r="D176" s="12" t="n">
        <x:f>C176/'客户小时分布'!$C$8</x:f>
        <x:v>0.00008199841860192696</x:v>
      </x:c>
      <x:c r="E176" s="12" t="n">
        <x:f>C176/'客户小时分布'!$C$10</x:f>
        <x:v>0.000007526881720430108</x:v>
      </x:c>
      <x:c r="F176" s="8" t="n">
        <x:f>B176*C176</x:f>
        <x:v>9464</x:v>
      </x:c>
      <x:c r="G176" s="12" t="n">
        <x:f>F176/'客户小时分布'!$C$6</x:f>
        <x:v>0.0007721361328870435</x:v>
      </x:c>
      <x:c r="H176" s="12" t="n">
        <x:f>SUM($C$8:C176)/'客户小时分布'!$C$8</x:f>
        <x:v>0.9974990482326412</x:v>
      </x:c>
    </x:row>
    <x:row r="177" ht="22" customHeight="1">
      <x:c r="A177" s="2"/>
      <x:c r="B177" s="8" t="n">
        <x:v>170</x:v>
      </x:c>
      <x:c r="C177" s="8" t="n">
        <x:v>59</x:v>
      </x:c>
      <x:c r="D177" s="12" t="n">
        <x:f>C177/'客户小时分布'!$C$8</x:f>
        <x:v>0.00008639119102703019</x:v>
      </x:c>
      <x:c r="E177" s="12" t="n">
        <x:f>C177/'客户小时分布'!$C$10</x:f>
        <x:v>0.00000793010752688172</x:v>
      </x:c>
      <x:c r="F177" s="8" t="n">
        <x:f>B177*C177</x:f>
        <x:v>10030</x:v>
      </x:c>
      <x:c r="G177" s="12" t="n">
        <x:f>F177/'客户小时分布'!$C$6</x:f>
        <x:v>0.0008183141814092398</x:v>
      </x:c>
      <x:c r="H177" s="12" t="n">
        <x:f>SUM($C$8:C177)/'客户小时分布'!$C$8</x:f>
        <x:v>0.9975854394236683</x:v>
      </x:c>
    </x:row>
    <x:row r="178" ht="22" customHeight="1">
      <x:c r="A178" s="2"/>
      <x:c r="B178" s="8" t="n">
        <x:v>171</x:v>
      </x:c>
      <x:c r="C178" s="8" t="n">
        <x:v>45</x:v>
      </x:c>
      <x:c r="D178" s="12" t="n">
        <x:f>C178/'客户小时分布'!$C$8</x:f>
        <x:v>0.00006589158637654846</x:v>
      </x:c>
      <x:c r="E178" s="12" t="n">
        <x:f>C178/'客户小时分布'!$C$10</x:f>
        <x:v>0.000006048387096774193</x:v>
      </x:c>
      <x:c r="F178" s="8" t="n">
        <x:f>B178*C178</x:f>
        <x:v>7695</x:v>
      </x:c>
      <x:c r="G178" s="12" t="n">
        <x:f>F178/'客户小时分布'!$C$6</x:f>
        <x:v>0.0006278093345906381</x:v>
      </x:c>
      <x:c r="H178" s="12" t="n">
        <x:f>SUM($C$8:C178)/'客户小时分布'!$C$8</x:f>
        <x:v>0.9976513310100448</x:v>
      </x:c>
    </x:row>
    <x:row r="179" ht="22" customHeight="1">
      <x:c r="A179" s="2"/>
      <x:c r="B179" s="8" t="n">
        <x:v>172</x:v>
      </x:c>
      <x:c r="C179" s="8" t="n">
        <x:v>46</x:v>
      </x:c>
      <x:c r="D179" s="12" t="n">
        <x:f>C179/'客户小时分布'!$C$8</x:f>
        <x:v>0.00006735584385158286</x:v>
      </x:c>
      <x:c r="E179" s="12" t="n">
        <x:f>C179/'客户小时分布'!$C$10</x:f>
        <x:v>0.000006182795698924731</x:v>
      </x:c>
      <x:c r="F179" s="8" t="n">
        <x:f>B179*C179</x:f>
        <x:v>7912</x:v>
      </x:c>
      <x:c r="G179" s="12" t="n">
        <x:f>F179/'客户小时分布'!$C$6</x:f>
        <x:v>0.0006455136394127522</x:v>
      </x:c>
      <x:c r="H179" s="12" t="n">
        <x:f>SUM($C$8:C179)/'客户小时分布'!$C$8</x:f>
        <x:v>0.9977186868538964</x:v>
      </x:c>
    </x:row>
    <x:row r="180" ht="22" customHeight="1">
      <x:c r="A180" s="2"/>
      <x:c r="B180" s="8" t="n">
        <x:v>173</x:v>
      </x:c>
      <x:c r="C180" s="8" t="n">
        <x:v>39</x:v>
      </x:c>
      <x:c r="D180" s="12" t="n">
        <x:f>C180/'客户小时分布'!$C$8</x:f>
        <x:v>0.000057106041526341995</x:v>
      </x:c>
      <x:c r="E180" s="12" t="n">
        <x:f>C180/'客户小时分布'!$C$10</x:f>
        <x:v>0.000005241935483870967</x:v>
      </x:c>
      <x:c r="F180" s="8" t="n">
        <x:f>B180*C180</x:f>
        <x:v>6747</x:v>
      </x:c>
      <x:c r="G180" s="12" t="n">
        <x:f>F180/'客户小时分布'!$C$6</x:f>
        <x:v>0.0005504651826488675</x:v>
      </x:c>
      <x:c r="H180" s="12" t="n">
        <x:f>SUM($C$8:C180)/'客户小时分布'!$C$8</x:f>
        <x:v>0.9977757928954227</x:v>
      </x:c>
    </x:row>
    <x:row r="181" ht="22" customHeight="1">
      <x:c r="A181" s="2"/>
      <x:c r="B181" s="8" t="n">
        <x:v>174</x:v>
      </x:c>
      <x:c r="C181" s="8" t="n">
        <x:v>41</x:v>
      </x:c>
      <x:c r="D181" s="12" t="n">
        <x:f>C181/'客户小时分布'!$C$8</x:f>
        <x:v>0.00006003455647641081</x:v>
      </x:c>
      <x:c r="E181" s="12" t="n">
        <x:f>C181/'客户小时分布'!$C$10</x:f>
        <x:v>0.000005510752688172043</x:v>
      </x:c>
      <x:c r="F181" s="8" t="n">
        <x:f>B181*C181</x:f>
        <x:v>7134</x:v>
      </x:c>
      <x:c r="G181" s="12" t="n">
        <x:f>F181/'客户小时分布'!$C$6</x:f>
        <x:v>0.0005820392193592738</x:v>
      </x:c>
      <x:c r="H181" s="12" t="n">
        <x:f>SUM($C$8:C181)/'客户小时分布'!$C$8</x:f>
        <x:v>0.9978358274518991</x:v>
      </x:c>
    </x:row>
    <x:row r="182" ht="22" customHeight="1">
      <x:c r="A182" s="2"/>
      <x:c r="B182" s="8" t="n">
        <x:v>175</x:v>
      </x:c>
      <x:c r="C182" s="8" t="n">
        <x:v>46</x:v>
      </x:c>
      <x:c r="D182" s="12" t="n">
        <x:f>C182/'客户小时分布'!$C$8</x:f>
        <x:v>0.00006735584385158286</x:v>
      </x:c>
      <x:c r="E182" s="12" t="n">
        <x:f>C182/'客户小时分布'!$C$10</x:f>
        <x:v>0.000006182795698924731</x:v>
      </x:c>
      <x:c r="F182" s="8" t="n">
        <x:f>B182*C182</x:f>
        <x:v>8050</x:v>
      </x:c>
      <x:c r="G182" s="12" t="n">
        <x:f>F182/'客户小时分布'!$C$6</x:f>
        <x:v>0.0006567725982397189</x:v>
      </x:c>
      <x:c r="H182" s="12" t="n">
        <x:f>SUM($C$8:C182)/'客户小时分布'!$C$8</x:f>
        <x:v>0.9979031832957507</x:v>
      </x:c>
    </x:row>
    <x:row r="183" ht="22" customHeight="1">
      <x:c r="A183" s="2"/>
      <x:c r="B183" s="8" t="n">
        <x:v>176</x:v>
      </x:c>
      <x:c r="C183" s="8" t="n">
        <x:v>27</x:v>
      </x:c>
      <x:c r="D183" s="12" t="n">
        <x:f>C183/'客户小时分布'!$C$8</x:f>
        <x:v>0.00003953495182592907</x:v>
      </x:c>
      <x:c r="E183" s="12" t="n">
        <x:f>C183/'客户小时分布'!$C$10</x:f>
        <x:v>0.000003629032258064516</x:v>
      </x:c>
      <x:c r="F183" s="8" t="n">
        <x:f>B183*C183</x:f>
        <x:v>4752</x:v>
      </x:c>
      <x:c r="G183" s="12" t="n">
        <x:f>F183/'客户小时分布'!$C$6</x:f>
        <x:v>0.0003876997996068502</x:v>
      </x:c>
      <x:c r="H183" s="12" t="n">
        <x:f>SUM($C$8:C183)/'客户小时分布'!$C$8</x:f>
        <x:v>0.9979427182475766</x:v>
      </x:c>
    </x:row>
    <x:row r="184" ht="22" customHeight="1">
      <x:c r="A184" s="2"/>
      <x:c r="B184" s="8" t="n">
        <x:v>177</x:v>
      </x:c>
      <x:c r="C184" s="8" t="n">
        <x:v>29</x:v>
      </x:c>
      <x:c r="D184" s="12" t="n">
        <x:f>C184/'客户小时分布'!$C$8</x:f>
        <x:v>0.00004246346677599789</x:v>
      </x:c>
      <x:c r="E184" s="12" t="n">
        <x:f>C184/'客户小时分布'!$C$10</x:f>
        <x:v>0.0000038978494623655915</x:v>
      </x:c>
      <x:c r="F184" s="8" t="n">
        <x:f>B184*C184</x:f>
        <x:v>5133</x:v>
      </x:c>
      <x:c r="G184" s="12" t="n">
        <x:f>F184/'客户小时分布'!$C$6</x:f>
        <x:v>0.00041878431636825804</x:v>
      </x:c>
      <x:c r="H184" s="12" t="n">
        <x:f>SUM($C$8:C184)/'客户小时分布'!$C$8</x:f>
        <x:v>0.9979851817143527</x:v>
      </x:c>
    </x:row>
    <x:row r="185" ht="22" customHeight="1">
      <x:c r="A185" s="2"/>
      <x:c r="B185" s="8" t="n">
        <x:v>178</x:v>
      </x:c>
      <x:c r="C185" s="8" t="n">
        <x:v>45</x:v>
      </x:c>
      <x:c r="D185" s="12" t="n">
        <x:f>C185/'客户小时分布'!$C$8</x:f>
        <x:v>0.00006589158637654846</x:v>
      </x:c>
      <x:c r="E185" s="12" t="n">
        <x:f>C185/'客户小时分布'!$C$10</x:f>
        <x:v>0.000006048387096774193</x:v>
      </x:c>
      <x:c r="F185" s="8" t="n">
        <x:f>B185*C185</x:f>
        <x:v>8010</x:v>
      </x:c>
      <x:c r="G185" s="12" t="n">
        <x:f>F185/'客户小时分布'!$C$6</x:f>
        <x:v>0.0006535091319130619</x:v>
      </x:c>
      <x:c r="H185" s="12" t="n">
        <x:f>SUM($C$8:C185)/'客户小时分布'!$C$8</x:f>
        <x:v>0.9980510733007292</x:v>
      </x:c>
    </x:row>
    <x:row r="186" ht="22" customHeight="1">
      <x:c r="A186" s="2"/>
      <x:c r="B186" s="8" t="n">
        <x:v>179</x:v>
      </x:c>
      <x:c r="C186" s="8" t="n">
        <x:v>31</x:v>
      </x:c>
      <x:c r="D186" s="12" t="n">
        <x:f>C186/'客户小时分布'!$C$8</x:f>
        <x:v>0.00004539198172606671</x:v>
      </x:c>
      <x:c r="E186" s="12" t="n">
        <x:f>C186/'客户小时分布'!$C$10</x:f>
        <x:v>0.000004166666666666667</x:v>
      </x:c>
      <x:c r="F186" s="8" t="n">
        <x:f>B186*C186</x:f>
        <x:v>5549</x:v>
      </x:c>
      <x:c r="G186" s="12" t="n">
        <x:f>F186/'客户小时分布'!$C$6</x:f>
        <x:v>0.0004527243661654907</x:v>
      </x:c>
      <x:c r="H186" s="12" t="n">
        <x:f>SUM($C$8:C186)/'客户小时分布'!$C$8</x:f>
        <x:v>0.9980964652824552</x:v>
      </x:c>
    </x:row>
    <x:row r="187" ht="22" customHeight="1">
      <x:c r="A187" s="2"/>
      <x:c r="B187" s="8" t="n">
        <x:v>180</x:v>
      </x:c>
      <x:c r="C187" s="8" t="n">
        <x:v>23</x:v>
      </x:c>
      <x:c r="D187" s="12" t="n">
        <x:f>C187/'客户小时分布'!$C$8</x:f>
        <x:v>0.00003367792192579143</x:v>
      </x:c>
      <x:c r="E187" s="12" t="n">
        <x:f>C187/'客户小时分布'!$C$10</x:f>
        <x:v>0.0000030913978494623655</x:v>
      </x:c>
      <x:c r="F187" s="8" t="n">
        <x:f>B187*C187</x:f>
        <x:v>4140</x:v>
      </x:c>
      <x:c r="G187" s="12" t="n">
        <x:f>F187/'客户小时分布'!$C$6</x:f>
        <x:v>0.0003377687648089983</x:v>
      </x:c>
      <x:c r="H187" s="12" t="n">
        <x:f>SUM($C$8:C187)/'客户小时分布'!$C$8</x:f>
        <x:v>0.9981301432043811</x:v>
      </x:c>
    </x:row>
    <x:row r="188" ht="22" customHeight="1">
      <x:c r="A188" s="2"/>
      <x:c r="B188" s="8" t="n">
        <x:v>181</x:v>
      </x:c>
      <x:c r="C188" s="8" t="n">
        <x:v>28</x:v>
      </x:c>
      <x:c r="D188" s="12" t="n">
        <x:f>C188/'客户小时分布'!$C$8</x:f>
        <x:v>0.00004099920930096348</x:v>
      </x:c>
      <x:c r="E188" s="12" t="n">
        <x:f>C188/'客户小时分布'!$C$10</x:f>
        <x:v>0.000003763440860215054</x:v>
      </x:c>
      <x:c r="F188" s="8" t="n">
        <x:f>B188*C188</x:f>
        <x:v>5068</x:v>
      </x:c>
      <x:c r="G188" s="12" t="n">
        <x:f>F188/'客户小时分布'!$C$6</x:f>
        <x:v>0.00041348118358744044</x:v>
      </x:c>
      <x:c r="H188" s="12" t="n">
        <x:f>SUM($C$8:C188)/'客户小时分布'!$C$8</x:f>
        <x:v>0.998171142413682</x:v>
      </x:c>
    </x:row>
    <x:row r="189" ht="22" customHeight="1">
      <x:c r="A189" s="2"/>
      <x:c r="B189" s="8" t="n">
        <x:v>182</x:v>
      </x:c>
      <x:c r="C189" s="8" t="n">
        <x:v>34</x:v>
      </x:c>
      <x:c r="D189" s="12" t="n">
        <x:f>C189/'客户小时分布'!$C$8</x:f>
        <x:v>0.00004978475415116994</x:v>
      </x:c>
      <x:c r="E189" s="12" t="n">
        <x:f>C189/'客户小时分布'!$C$10</x:f>
        <x:v>0.00000456989247311828</x:v>
      </x:c>
      <x:c r="F189" s="8" t="n">
        <x:f>B189*C189</x:f>
        <x:v>6188</x:v>
      </x:c>
      <x:c r="G189" s="12" t="n">
        <x:f>F189/'客户小时分布'!$C$6</x:f>
        <x:v>0.0005048582407338361</x:v>
      </x:c>
      <x:c r="H189" s="12" t="n">
        <x:f>SUM($C$8:C189)/'客户小时分布'!$C$8</x:f>
        <x:v>0.9982209271678332</x:v>
      </x:c>
    </x:row>
    <x:row r="190" ht="22" customHeight="1">
      <x:c r="A190" s="2"/>
      <x:c r="B190" s="8" t="n">
        <x:v>183</x:v>
      </x:c>
      <x:c r="C190" s="8" t="n">
        <x:v>26</x:v>
      </x:c>
      <x:c r="D190" s="12" t="n">
        <x:f>C190/'客户小时分布'!$C$8</x:f>
        <x:v>0.00003807069435089466</x:v>
      </x:c>
      <x:c r="E190" s="12" t="n">
        <x:f>C190/'客户小时分布'!$C$10</x:f>
        <x:v>0.0000034946236559139785</x:v>
      </x:c>
      <x:c r="F190" s="8" t="n">
        <x:f>B190*C190</x:f>
        <x:v>4758</x:v>
      </x:c>
      <x:c r="G190" s="12" t="n">
        <x:f>F190/'客户小时分布'!$C$6</x:f>
        <x:v>0.00038818931955584873</x:v>
      </x:c>
      <x:c r="H190" s="12" t="n">
        <x:f>SUM($C$8:C190)/'客户小时分布'!$C$8</x:f>
        <x:v>0.9982589978621841</x:v>
      </x:c>
    </x:row>
    <x:row r="191" ht="22" customHeight="1">
      <x:c r="A191" s="2"/>
      <x:c r="B191" s="8" t="n">
        <x:v>184</x:v>
      </x:c>
      <x:c r="C191" s="8" t="n">
        <x:v>26</x:v>
      </x:c>
      <x:c r="D191" s="12" t="n">
        <x:f>C191/'客户小时分布'!$C$8</x:f>
        <x:v>0.00003807069435089466</x:v>
      </x:c>
      <x:c r="E191" s="12" t="n">
        <x:f>C191/'客户小时分布'!$C$10</x:f>
        <x:v>0.0000034946236559139785</x:v>
      </x:c>
      <x:c r="F191" s="8" t="n">
        <x:f>B191*C191</x:f>
        <x:v>4784</x:v>
      </x:c>
      <x:c r="G191" s="12" t="n">
        <x:f>F191/'客户小时分布'!$C$6</x:f>
        <x:v>0.0003903105726681758</x:v>
      </x:c>
      <x:c r="H191" s="12" t="n">
        <x:f>SUM($C$8:C191)/'客户小时分布'!$C$8</x:f>
        <x:v>0.998297068556535</x:v>
      </x:c>
    </x:row>
    <x:row r="192" ht="22" customHeight="1">
      <x:c r="A192" s="2"/>
      <x:c r="B192" s="8" t="n">
        <x:v>185</x:v>
      </x:c>
      <x:c r="C192" s="8" t="n">
        <x:v>17</x:v>
      </x:c>
      <x:c r="D192" s="12" t="n">
        <x:f>C192/'客户小时分布'!$C$8</x:f>
        <x:v>0.00002489237707558497</x:v>
      </x:c>
      <x:c r="E192" s="12" t="n">
        <x:f>C192/'客户小时分布'!$C$10</x:f>
        <x:v>0.00000228494623655914</x:v>
      </x:c>
      <x:c r="F192" s="8" t="n">
        <x:f>B192*C192</x:f>
        <x:v>3145</x:v>
      </x:c>
      <x:c r="G192" s="12" t="n">
        <x:f>F192/'客户小时分布'!$C$6</x:f>
        <x:v>0.0002565900399334057</x:v>
      </x:c>
      <x:c r="H192" s="12" t="n">
        <x:f>SUM($C$8:C192)/'客户小时分布'!$C$8</x:f>
        <x:v>0.9983219609336106</x:v>
      </x:c>
    </x:row>
    <x:row r="193" ht="22" customHeight="1">
      <x:c r="A193" s="2"/>
      <x:c r="B193" s="8" t="n">
        <x:v>186</x:v>
      </x:c>
      <x:c r="C193" s="8" t="n">
        <x:v>35</x:v>
      </x:c>
      <x:c r="D193" s="12" t="n">
        <x:f>C193/'客户小时分布'!$C$8</x:f>
        <x:v>0.00005124901162620435</x:v>
      </x:c>
      <x:c r="E193" s="12" t="n">
        <x:f>C193/'客户小时分布'!$C$10</x:f>
        <x:v>0.0000047043010752688175</x:v>
      </x:c>
      <x:c r="F193" s="8" t="n">
        <x:f>B193*C193</x:f>
        <x:v>6510</x:v>
      </x:c>
      <x:c r="G193" s="12" t="n">
        <x:f>F193/'客户小时分布'!$C$6</x:f>
        <x:v>0.0005311291446634249</x:v>
      </x:c>
      <x:c r="H193" s="12" t="n">
        <x:f>SUM($C$8:C193)/'客户小时分布'!$C$8</x:f>
        <x:v>0.9983732099452368</x:v>
      </x:c>
    </x:row>
    <x:row r="194" ht="22" customHeight="1">
      <x:c r="A194" s="2"/>
      <x:c r="B194" s="8" t="n">
        <x:v>187</x:v>
      </x:c>
      <x:c r="C194" s="8" t="n">
        <x:v>30</x:v>
      </x:c>
      <x:c r="D194" s="12" t="n">
        <x:f>C194/'客户小时分布'!$C$8</x:f>
        <x:v>0.000043927724251032304</x:v>
      </x:c>
      <x:c r="E194" s="12" t="n">
        <x:f>C194/'客户小时分布'!$C$10</x:f>
        <x:v>0.000004032258064516129</x:v>
      </x:c>
      <x:c r="F194" s="8" t="n">
        <x:f>B194*C194</x:f>
        <x:v>5610</x:v>
      </x:c>
      <x:c r="G194" s="12" t="n">
        <x:f>F194/'客户小时分布'!$C$6</x:f>
        <x:v>0.00045770115231364263</x:v>
      </x:c>
      <x:c r="H194" s="12" t="n">
        <x:f>SUM($C$8:C194)/'客户小时分布'!$C$8</x:f>
        <x:v>0.9984171376694878</x:v>
      </x:c>
    </x:row>
    <x:row r="195" ht="22" customHeight="1">
      <x:c r="A195" s="2"/>
      <x:c r="B195" s="8" t="n">
        <x:v>188</x:v>
      </x:c>
      <x:c r="C195" s="8" t="n">
        <x:v>27</x:v>
      </x:c>
      <x:c r="D195" s="12" t="n">
        <x:f>C195/'客户小时分布'!$C$8</x:f>
        <x:v>0.00003953495182592907</x:v>
      </x:c>
      <x:c r="E195" s="12" t="n">
        <x:f>C195/'客户小时分布'!$C$10</x:f>
        <x:v>0.000003629032258064516</x:v>
      </x:c>
      <x:c r="F195" s="8" t="n">
        <x:f>B195*C195</x:f>
        <x:v>5076</x:v>
      </x:c>
      <x:c r="G195" s="12" t="n">
        <x:f>F195/'客户小时分布'!$C$6</x:f>
        <x:v>0.00041413387685277183</x:v>
      </x:c>
      <x:c r="H195" s="12" t="n">
        <x:f>SUM($C$8:C195)/'客户小时分布'!$C$8</x:f>
        <x:v>0.9984566726213138</x:v>
      </x:c>
    </x:row>
    <x:row r="196" ht="22" customHeight="1">
      <x:c r="A196" s="2"/>
      <x:c r="B196" s="8" t="n">
        <x:v>189</x:v>
      </x:c>
      <x:c r="C196" s="8" t="n">
        <x:v>15</x:v>
      </x:c>
      <x:c r="D196" s="12" t="n">
        <x:f>C196/'客户小时分布'!$C$8</x:f>
        <x:v>0.000021963862125516152</x:v>
      </x:c>
      <x:c r="E196" s="12" t="n">
        <x:f>C196/'客户小时分布'!$C$10</x:f>
        <x:v>0.0000020161290322580646</x:v>
      </x:c>
      <x:c r="F196" s="8" t="n">
        <x:f>B196*C196</x:f>
        <x:v>2835</x:v>
      </x:c>
      <x:c r="G196" s="12" t="n">
        <x:f>F196/'客户小时分布'!$C$6</x:f>
        <x:v>0.00023129817590181404</x:v>
      </x:c>
      <x:c r="H196" s="12" t="n">
        <x:f>SUM($C$8:C196)/'客户小时分布'!$C$8</x:f>
        <x:v>0.9984786364834393</x:v>
      </x:c>
    </x:row>
    <x:row r="197" ht="22" customHeight="1">
      <x:c r="A197" s="2"/>
      <x:c r="B197" s="8" t="n">
        <x:v>190</x:v>
      </x:c>
      <x:c r="C197" s="8" t="n">
        <x:v>33</x:v>
      </x:c>
      <x:c r="D197" s="12" t="n">
        <x:f>C197/'客户小时分布'!$C$8</x:f>
        <x:v>0.000048320496676135534</x:v>
      </x:c>
      <x:c r="E197" s="12" t="n">
        <x:f>C197/'客户小时分布'!$C$10</x:f>
        <x:v>0.000004435483870967742</x:v>
      </x:c>
      <x:c r="F197" s="8" t="n">
        <x:f>B197*C197</x:f>
        <x:v>6270</x:v>
      </x:c>
      <x:c r="G197" s="12" t="n">
        <x:f>F197/'客户小时分布'!$C$6</x:f>
        <x:v>0.0005115483467034829</x:v>
      </x:c>
      <x:c r="H197" s="12" t="n">
        <x:f>SUM($C$8:C197)/'客户小时分布'!$C$8</x:f>
        <x:v>0.9985269569801154</x:v>
      </x:c>
    </x:row>
    <x:row r="198" ht="22" customHeight="1">
      <x:c r="A198" s="2"/>
      <x:c r="B198" s="8" t="n">
        <x:v>191</x:v>
      </x:c>
      <x:c r="C198" s="8" t="n">
        <x:v>18</x:v>
      </x:c>
      <x:c r="D198" s="12" t="n">
        <x:f>C198/'客户小时分布'!$C$8</x:f>
        <x:v>0.000026356634550619382</x:v>
      </x:c>
      <x:c r="E198" s="12" t="n">
        <x:f>C198/'客户小时分布'!$C$10</x:f>
        <x:v>0.0000024193548387096776</x:v>
      </x:c>
      <x:c r="F198" s="8" t="n">
        <x:f>B198*C198</x:f>
        <x:v>3438</x:v>
      </x:c>
      <x:c r="G198" s="12" t="n">
        <x:f>F198/'客户小时分布'!$C$6</x:f>
        <x:v>0.00028049493077616816</x:v>
      </x:c>
      <x:c r="H198" s="12" t="n">
        <x:f>SUM($C$8:C198)/'客户小时分布'!$C$8</x:f>
        <x:v>0.998553313614666</x:v>
      </x:c>
    </x:row>
    <x:row r="199" ht="22" customHeight="1">
      <x:c r="A199" s="2"/>
      <x:c r="B199" s="8" t="n">
        <x:v>192</x:v>
      </x:c>
      <x:c r="C199" s="8" t="n">
        <x:v>25</x:v>
      </x:c>
      <x:c r="D199" s="12" t="n">
        <x:f>C199/'客户小时分布'!$C$8</x:f>
        <x:v>0.00003660643687586025</x:v>
      </x:c>
      <x:c r="E199" s="12" t="n">
        <x:f>C199/'客户小时分布'!$C$10</x:f>
        <x:v>0.000003360215053763441</x:v>
      </x:c>
      <x:c r="F199" s="8" t="n">
        <x:f>B199*C199</x:f>
        <x:v>4800</x:v>
      </x:c>
      <x:c r="G199" s="12" t="n">
        <x:f>F199/'客户小时分布'!$C$6</x:f>
        <x:v>0.00039161595919883857</x:v>
      </x:c>
      <x:c r="H199" s="12" t="n">
        <x:f>SUM($C$8:C199)/'客户小时分布'!$C$8</x:f>
        <x:v>0.9985899200515419</x:v>
      </x:c>
    </x:row>
    <x:row r="200" ht="22" customHeight="1">
      <x:c r="A200" s="2"/>
      <x:c r="B200" s="8" t="n">
        <x:v>193</x:v>
      </x:c>
      <x:c r="C200" s="8" t="n">
        <x:v>21</x:v>
      </x:c>
      <x:c r="D200" s="12" t="n">
        <x:f>C200/'客户小时分布'!$C$8</x:f>
        <x:v>0.00003074940697572261</x:v>
      </x:c>
      <x:c r="E200" s="12" t="n">
        <x:f>C200/'客户小时分布'!$C$10</x:f>
        <x:v>0.00000282258064516129</x:v>
      </x:c>
      <x:c r="F200" s="8" t="n">
        <x:f>B200*C200</x:f>
        <x:v>4053</x:v>
      </x:c>
      <x:c r="G200" s="12" t="n">
        <x:f>F200/'客户小时分布'!$C$6</x:f>
        <x:v>0.00033067072554851935</x:v>
      </x:c>
      <x:c r="H200" s="12" t="n">
        <x:f>SUM($C$8:C200)/'客户小时分布'!$C$8</x:f>
        <x:v>0.9986206694585176</x:v>
      </x:c>
    </x:row>
    <x:row r="201" ht="22" customHeight="1">
      <x:c r="A201" s="2"/>
      <x:c r="B201" s="8" t="n">
        <x:v>194</x:v>
      </x:c>
      <x:c r="C201" s="8" t="n">
        <x:v>23</x:v>
      </x:c>
      <x:c r="D201" s="12" t="n">
        <x:f>C201/'客户小时分布'!$C$8</x:f>
        <x:v>0.00003367792192579143</x:v>
      </x:c>
      <x:c r="E201" s="12" t="n">
        <x:f>C201/'客户小时分布'!$C$10</x:f>
        <x:v>0.0000030913978494623655</x:v>
      </x:c>
      <x:c r="F201" s="8" t="n">
        <x:f>B201*C201</x:f>
        <x:v>4462</x:v>
      </x:c>
      <x:c r="G201" s="12" t="n">
        <x:f>F201/'客户小时分布'!$C$6</x:f>
        <x:v>0.00036403966873858705</x:v>
      </x:c>
      <x:c r="H201" s="12" t="n">
        <x:f>SUM($C$8:C201)/'客户小时分布'!$C$8</x:f>
        <x:v>0.9986543473804433</x:v>
      </x:c>
    </x:row>
    <x:row r="202" ht="22" customHeight="1">
      <x:c r="A202" s="2"/>
      <x:c r="B202" s="8" t="n">
        <x:v>195</x:v>
      </x:c>
      <x:c r="C202" s="8" t="n">
        <x:v>21</x:v>
      </x:c>
      <x:c r="D202" s="12" t="n">
        <x:f>C202/'客户小时分布'!$C$8</x:f>
        <x:v>0.00003074940697572261</x:v>
      </x:c>
      <x:c r="E202" s="12" t="n">
        <x:f>C202/'客户小时分布'!$C$10</x:f>
        <x:v>0.00000282258064516129</x:v>
      </x:c>
      <x:c r="F202" s="8" t="n">
        <x:f>B202*C202</x:f>
        <x:v>4095</x:v>
      </x:c>
      <x:c r="G202" s="12" t="n">
        <x:f>F202/'客户小时分布'!$C$6</x:f>
        <x:v>0.0003340973651915092</x:v>
      </x:c>
      <x:c r="H202" s="12" t="n">
        <x:f>SUM($C$8:C202)/'客户小时分布'!$C$8</x:f>
        <x:v>0.9986850967874191</x:v>
      </x:c>
    </x:row>
    <x:row r="203" ht="22" customHeight="1">
      <x:c r="A203" s="2"/>
      <x:c r="B203" s="8" t="n">
        <x:v>196</x:v>
      </x:c>
      <x:c r="C203" s="8" t="n">
        <x:v>18</x:v>
      </x:c>
      <x:c r="D203" s="12" t="n">
        <x:f>C203/'客户小时分布'!$C$8</x:f>
        <x:v>0.000026356634550619382</x:v>
      </x:c>
      <x:c r="E203" s="12" t="n">
        <x:f>C203/'客户小时分布'!$C$10</x:f>
        <x:v>0.0000024193548387096776</x:v>
      </x:c>
      <x:c r="F203" s="8" t="n">
        <x:f>B203*C203</x:f>
        <x:v>3528</x:v>
      </x:c>
      <x:c r="G203" s="12" t="n">
        <x:f>F203/'客户小时分布'!$C$6</x:f>
        <x:v>0.00028783773001114636</x:v>
      </x:c>
      <x:c r="H203" s="12" t="n">
        <x:f>SUM($C$8:C203)/'客户小时分布'!$C$8</x:f>
        <x:v>0.9987114534219698</x:v>
      </x:c>
    </x:row>
    <x:row r="204" ht="22" customHeight="1">
      <x:c r="A204" s="2"/>
      <x:c r="B204" s="8" t="n">
        <x:v>197</x:v>
      </x:c>
      <x:c r="C204" s="8" t="n">
        <x:v>18</x:v>
      </x:c>
      <x:c r="D204" s="12" t="n">
        <x:f>C204/'客户小时分布'!$C$8</x:f>
        <x:v>0.000026356634550619382</x:v>
      </x:c>
      <x:c r="E204" s="12" t="n">
        <x:f>C204/'客户小时分布'!$C$10</x:f>
        <x:v>0.0000024193548387096776</x:v>
      </x:c>
      <x:c r="F204" s="8" t="n">
        <x:f>B204*C204</x:f>
        <x:v>3546</x:v>
      </x:c>
      <x:c r="G204" s="12" t="n">
        <x:f>F204/'客户小时分布'!$C$6</x:f>
        <x:v>0.000289306289858142</x:v>
      </x:c>
      <x:c r="H204" s="12" t="n">
        <x:f>SUM($C$8:C204)/'客户小时分布'!$C$8</x:f>
        <x:v>0.9987378100565203</x:v>
      </x:c>
    </x:row>
    <x:row r="205" ht="22" customHeight="1">
      <x:c r="A205" s="2"/>
      <x:c r="B205" s="8" t="n">
        <x:v>198</x:v>
      </x:c>
      <x:c r="C205" s="8" t="n">
        <x:v>28</x:v>
      </x:c>
      <x:c r="D205" s="12" t="n">
        <x:f>C205/'客户小时分布'!$C$8</x:f>
        <x:v>0.00004099920930096348</x:v>
      </x:c>
      <x:c r="E205" s="12" t="n">
        <x:f>C205/'客户小时分布'!$C$10</x:f>
        <x:v>0.000003763440860215054</x:v>
      </x:c>
      <x:c r="F205" s="8" t="n">
        <x:f>B205*C205</x:f>
        <x:v>5544</x:v>
      </x:c>
      <x:c r="G205" s="12" t="n">
        <x:f>F205/'客户小时分布'!$C$6</x:f>
        <x:v>0.00045231643287465856</x:v>
      </x:c>
      <x:c r="H205" s="12" t="n">
        <x:f>SUM($C$8:C205)/'客户小时分布'!$C$8</x:f>
        <x:v>0.9987788092658213</x:v>
      </x:c>
    </x:row>
    <x:row r="206" ht="22" customHeight="1">
      <x:c r="A206" s="2"/>
      <x:c r="B206" s="8" t="n">
        <x:v>199</x:v>
      </x:c>
      <x:c r="C206" s="8" t="n">
        <x:v>30</x:v>
      </x:c>
      <x:c r="D206" s="12" t="n">
        <x:f>C206/'客户小时分布'!$C$8</x:f>
        <x:v>0.000043927724251032304</x:v>
      </x:c>
      <x:c r="E206" s="12" t="n">
        <x:f>C206/'客户小时分布'!$C$10</x:f>
        <x:v>0.000004032258064516129</x:v>
      </x:c>
      <x:c r="F206" s="8" t="n">
        <x:f>B206*C206</x:f>
        <x:v>5970</x:v>
      </x:c>
      <x:c r="G206" s="12" t="n">
        <x:f>F206/'客户小时分布'!$C$6</x:f>
        <x:v>0.0004870723492535555</x:v>
      </x:c>
      <x:c r="H206" s="12" t="n">
        <x:f>SUM($C$8:C206)/'客户小时分布'!$C$8</x:f>
        <x:v>0.9988227369900723</x:v>
      </x:c>
    </x:row>
    <x:row r="207" ht="22" customHeight="1">
      <x:c r="A207" s="2"/>
      <x:c r="B207" s="8" t="n">
        <x:v>200</x:v>
      </x:c>
      <x:c r="C207" s="8" t="n">
        <x:v>24</x:v>
      </x:c>
      <x:c r="D207" s="12" t="n">
        <x:f>C207/'客户小时分布'!$C$8</x:f>
        <x:v>0.00003514217940082584</x:v>
      </x:c>
      <x:c r="E207" s="12" t="n">
        <x:f>C207/'客户小时分布'!$C$10</x:f>
        <x:v>0.000003225806451612903</x:v>
      </x:c>
      <x:c r="F207" s="8" t="n">
        <x:f>B207*C207</x:f>
        <x:v>4800</x:v>
      </x:c>
      <x:c r="G207" s="12" t="n">
        <x:f>F207/'客户小时分布'!$C$6</x:f>
        <x:v>0.00039161595919883857</x:v>
      </x:c>
      <x:c r="H207" s="12" t="n">
        <x:f>SUM($C$8:C207)/'客户小时分布'!$C$8</x:f>
        <x:v>0.9988578791694731</x:v>
      </x:c>
    </x:row>
    <x:row r="208" ht="22" customHeight="1">
      <x:c r="A208" s="2"/>
      <x:c r="B208" s="8" t="n">
        <x:v>201</x:v>
      </x:c>
      <x:c r="C208" s="8" t="n">
        <x:v>16</x:v>
      </x:c>
      <x:c r="D208" s="12" t="n">
        <x:f>C208/'客户小时分布'!$C$8</x:f>
        <x:v>0.00002342811960055056</x:v>
      </x:c>
      <x:c r="E208" s="12" t="n">
        <x:f>C208/'客户小时分布'!$C$10</x:f>
        <x:v>0.0000021505376344086023</x:v>
      </x:c>
      <x:c r="F208" s="8" t="n">
        <x:f>B208*C208</x:f>
        <x:v>3216</x:v>
      </x:c>
      <x:c r="G208" s="12" t="n">
        <x:f>F208/'客户小时分布'!$C$6</x:f>
        <x:v>0.0002623826926632219</x:v>
      </x:c>
      <x:c r="H208" s="12" t="n">
        <x:f>SUM($C$8:C208)/'客户小时分布'!$C$8</x:f>
        <x:v>0.9988813072890738</x:v>
      </x:c>
    </x:row>
    <x:row r="209" ht="22" customHeight="1">
      <x:c r="A209" s="2"/>
      <x:c r="B209" s="8" t="n">
        <x:v>202</x:v>
      </x:c>
      <x:c r="C209" s="8" t="n">
        <x:v>17</x:v>
      </x:c>
      <x:c r="D209" s="12" t="n">
        <x:f>C209/'客户小时分布'!$C$8</x:f>
        <x:v>0.00002489237707558497</x:v>
      </x:c>
      <x:c r="E209" s="12" t="n">
        <x:f>C209/'客户小时分布'!$C$10</x:f>
        <x:v>0.00000228494623655914</x:v>
      </x:c>
      <x:c r="F209" s="8" t="n">
        <x:f>B209*C209</x:f>
        <x:v>3434</x:v>
      </x:c>
      <x:c r="G209" s="12" t="n">
        <x:f>F209/'客户小时分布'!$C$6</x:f>
        <x:v>0.00028016858414350247</x:v>
      </x:c>
      <x:c r="H209" s="12" t="n">
        <x:f>SUM($C$8:C209)/'客户小时分布'!$C$8</x:f>
        <x:v>0.9989061996661492</x:v>
      </x:c>
    </x:row>
    <x:row r="210" ht="22" customHeight="1">
      <x:c r="A210" s="2"/>
      <x:c r="B210" s="8" t="n">
        <x:v>203</x:v>
      </x:c>
      <x:c r="C210" s="8" t="n">
        <x:v>24</x:v>
      </x:c>
      <x:c r="D210" s="12" t="n">
        <x:f>C210/'客户小时分布'!$C$8</x:f>
        <x:v>0.00003514217940082584</x:v>
      </x:c>
      <x:c r="E210" s="12" t="n">
        <x:f>C210/'客户小时分布'!$C$10</x:f>
        <x:v>0.000003225806451612903</x:v>
      </x:c>
      <x:c r="F210" s="8" t="n">
        <x:f>B210*C210</x:f>
        <x:v>4872</x:v>
      </x:c>
      <x:c r="G210" s="12" t="n">
        <x:f>F210/'客户小时分布'!$C$6</x:f>
        <x:v>0.00039749019858682116</x:v>
      </x:c>
      <x:c r="H210" s="12" t="n">
        <x:f>SUM($C$8:C210)/'客户小时分布'!$C$8</x:f>
        <x:v>0.9989413418455502</x:v>
      </x:c>
    </x:row>
    <x:row r="211" ht="22" customHeight="1">
      <x:c r="A211" s="2"/>
      <x:c r="B211" s="8" t="n">
        <x:v>204</x:v>
      </x:c>
      <x:c r="C211" s="8" t="n">
        <x:v>18</x:v>
      </x:c>
      <x:c r="D211" s="12" t="n">
        <x:f>C211/'客户小时分布'!$C$8</x:f>
        <x:v>0.000026356634550619382</x:v>
      </x:c>
      <x:c r="E211" s="12" t="n">
        <x:f>C211/'客户小时分布'!$C$10</x:f>
        <x:v>0.0000024193548387096776</x:v>
      </x:c>
      <x:c r="F211" s="8" t="n">
        <x:f>B211*C211</x:f>
        <x:v>3672</x:v>
      </x:c>
      <x:c r="G211" s="12" t="n">
        <x:f>F211/'客户小时分布'!$C$6</x:f>
        <x:v>0.00029958620878711153</x:v>
      </x:c>
      <x:c r="H211" s="12" t="n">
        <x:f>SUM($C$8:C211)/'客户小时分布'!$C$8</x:f>
        <x:v>0.9989676984801007</x:v>
      </x:c>
    </x:row>
    <x:row r="212" ht="22" customHeight="1">
      <x:c r="A212" s="2"/>
      <x:c r="B212" s="8" t="n">
        <x:v>205</x:v>
      </x:c>
      <x:c r="C212" s="8" t="n">
        <x:v>14</x:v>
      </x:c>
      <x:c r="D212" s="12" t="n">
        <x:f>C212/'客户小时分布'!$C$8</x:f>
        <x:v>0.00002049960465048174</x:v>
      </x:c>
      <x:c r="E212" s="12" t="n">
        <x:f>C212/'客户小时分布'!$C$10</x:f>
        <x:v>0.000001881720430107527</x:v>
      </x:c>
      <x:c r="F212" s="8" t="n">
        <x:f>B212*C212</x:f>
        <x:v>2870</x:v>
      </x:c>
      <x:c r="G212" s="12" t="n">
        <x:f>F212/'客户小时分布'!$C$6</x:f>
        <x:v>0.00023415370893763892</x:v>
      </x:c>
      <x:c r="H212" s="12" t="n">
        <x:f>SUM($C$8:C212)/'客户小时分布'!$C$8</x:f>
        <x:v>0.9989881980847513</x:v>
      </x:c>
    </x:row>
    <x:row r="213" ht="22" customHeight="1">
      <x:c r="A213" s="2"/>
      <x:c r="B213" s="8" t="n">
        <x:v>206</x:v>
      </x:c>
      <x:c r="C213" s="8" t="n">
        <x:v>15</x:v>
      </x:c>
      <x:c r="D213" s="12" t="n">
        <x:f>C213/'客户小时分布'!$C$8</x:f>
        <x:v>0.000021963862125516152</x:v>
      </x:c>
      <x:c r="E213" s="12" t="n">
        <x:f>C213/'客户小时分布'!$C$10</x:f>
        <x:v>0.0000020161290322580646</x:v>
      </x:c>
      <x:c r="F213" s="8" t="n">
        <x:f>B213*C213</x:f>
        <x:v>3090</x:v>
      </x:c>
      <x:c r="G213" s="12" t="n">
        <x:f>F213/'客户小时分布'!$C$6</x:f>
        <x:v>0.0002521027737342523</x:v>
      </x:c>
      <x:c r="H213" s="12" t="n">
        <x:f>SUM($C$8:C213)/'客户小时分布'!$C$8</x:f>
        <x:v>0.9990101619468768</x:v>
      </x:c>
    </x:row>
    <x:row r="214" ht="22" customHeight="1">
      <x:c r="A214" s="2"/>
      <x:c r="B214" s="8" t="n">
        <x:v>207</x:v>
      </x:c>
      <x:c r="C214" s="8" t="n">
        <x:v>16</x:v>
      </x:c>
      <x:c r="D214" s="12" t="n">
        <x:f>C214/'客户小时分布'!$C$8</x:f>
        <x:v>0.00002342811960055056</x:v>
      </x:c>
      <x:c r="E214" s="12" t="n">
        <x:f>C214/'客户小时分布'!$C$10</x:f>
        <x:v>0.0000021505376344086023</x:v>
      </x:c>
      <x:c r="F214" s="8" t="n">
        <x:f>B214*C214</x:f>
        <x:v>3312</x:v>
      </x:c>
      <x:c r="G214" s="12" t="n">
        <x:f>F214/'客户小时分布'!$C$6</x:f>
        <x:v>0.00027021501184719865</x:v>
      </x:c>
      <x:c r="H214" s="12" t="n">
        <x:f>SUM($C$8:C214)/'客户小时分布'!$C$8</x:f>
        <x:v>0.9990335900664773</x:v>
      </x:c>
    </x:row>
    <x:row r="215" ht="22" customHeight="1">
      <x:c r="A215" s="2"/>
      <x:c r="B215" s="8" t="n">
        <x:v>208</x:v>
      </x:c>
      <x:c r="C215" s="8" t="n">
        <x:v>13</x:v>
      </x:c>
      <x:c r="D215" s="12" t="n">
        <x:f>C215/'客户小时分布'!$C$8</x:f>
        <x:v>0.00001903534717544733</x:v>
      </x:c>
      <x:c r="E215" s="12" t="n">
        <x:f>C215/'客户小时分布'!$C$10</x:f>
        <x:v>0.0000017473118279569893</x:v>
      </x:c>
      <x:c r="F215" s="8" t="n">
        <x:f>B215*C215</x:f>
        <x:v>2704</x:v>
      </x:c>
      <x:c r="G215" s="12" t="n">
        <x:f>F215/'客户小时分布'!$C$6</x:f>
        <x:v>0.00022061032368201242</x:v>
      </x:c>
      <x:c r="H215" s="12" t="n">
        <x:f>SUM($C$8:C215)/'客户小时分布'!$C$8</x:f>
        <x:v>0.9990526254136527</x:v>
      </x:c>
    </x:row>
    <x:row r="216" ht="22" customHeight="1">
      <x:c r="A216" s="2"/>
      <x:c r="B216" s="8" t="n">
        <x:v>209</x:v>
      </x:c>
      <x:c r="C216" s="8" t="n">
        <x:v>12</x:v>
      </x:c>
      <x:c r="D216" s="12" t="n">
        <x:f>C216/'客户小时分布'!$C$8</x:f>
        <x:v>0.00001757108970041292</x:v>
      </x:c>
      <x:c r="E216" s="12" t="n">
        <x:f>C216/'客户小时分布'!$C$10</x:f>
        <x:v>0.0000016129032258064516</x:v>
      </x:c>
      <x:c r="F216" s="8" t="n">
        <x:f>B216*C216</x:f>
        <x:v>2508</x:v>
      </x:c>
      <x:c r="G216" s="12" t="n">
        <x:f>F216/'客户小时分布'!$C$6</x:f>
        <x:v>0.00020461933868139317</x:v>
      </x:c>
      <x:c r="H216" s="12" t="n">
        <x:f>SUM($C$8:C216)/'客户小时分布'!$C$8</x:f>
        <x:v>0.9990701965033532</x:v>
      </x:c>
    </x:row>
    <x:row r="217" ht="22" customHeight="1">
      <x:c r="A217" s="2"/>
      <x:c r="B217" s="8" t="n">
        <x:v>210</x:v>
      </x:c>
      <x:c r="C217" s="8" t="n">
        <x:v>14</x:v>
      </x:c>
      <x:c r="D217" s="12" t="n">
        <x:f>C217/'客户小时分布'!$C$8</x:f>
        <x:v>0.00002049960465048174</x:v>
      </x:c>
      <x:c r="E217" s="12" t="n">
        <x:f>C217/'客户小时分布'!$C$10</x:f>
        <x:v>0.000001881720430107527</x:v>
      </x:c>
      <x:c r="F217" s="8" t="n">
        <x:f>B217*C217</x:f>
        <x:v>2940</x:v>
      </x:c>
      <x:c r="G217" s="12" t="n">
        <x:f>F217/'客户小时分布'!$C$6</x:f>
        <x:v>0.00023986477500928863</x:v>
      </x:c>
      <x:c r="H217" s="12" t="n">
        <x:f>SUM($C$8:C217)/'客户小时分布'!$C$8</x:f>
        <x:v>0.9990906961080036</x:v>
      </x:c>
    </x:row>
    <x:row r="218" ht="22" customHeight="1">
      <x:c r="A218" s="2"/>
      <x:c r="B218" s="8" t="n">
        <x:v>211</x:v>
      </x:c>
      <x:c r="C218" s="8" t="n">
        <x:v>8</x:v>
      </x:c>
      <x:c r="D218" s="12" t="n">
        <x:f>C218/'客户小时分布'!$C$8</x:f>
        <x:v>0.00001171405980027528</x:v>
      </x:c>
      <x:c r="E218" s="12" t="n">
        <x:f>C218/'客户小时分布'!$C$10</x:f>
        <x:v>0.0000010752688172043011</x:v>
      </x:c>
      <x:c r="F218" s="8" t="n">
        <x:f>B218*C218</x:f>
        <x:v>1688</x:v>
      </x:c>
      <x:c r="G218" s="12" t="n">
        <x:f>F218/'客户小时分布'!$C$6</x:f>
        <x:v>0.0001377182789849249</x:v>
      </x:c>
      <x:c r="H218" s="12" t="n">
        <x:f>SUM($C$8:C218)/'客户小时分布'!$C$8</x:f>
        <x:v>0.9991024101678039</x:v>
      </x:c>
    </x:row>
    <x:row r="219" ht="22" customHeight="1">
      <x:c r="A219" s="2"/>
      <x:c r="B219" s="8" t="n">
        <x:v>212</x:v>
      </x:c>
      <x:c r="C219" s="8" t="n">
        <x:v>11</x:v>
      </x:c>
      <x:c r="D219" s="12" t="n">
        <x:f>C219/'客户小时分布'!$C$8</x:f>
        <x:v>0.00001610683222537851</x:v>
      </x:c>
      <x:c r="E219" s="12" t="n">
        <x:f>C219/'客户小时分布'!$C$10</x:f>
        <x:v>0.000001478494623655914</x:v>
      </x:c>
      <x:c r="F219" s="8" t="n">
        <x:f>B219*C219</x:f>
        <x:v>2332</x:v>
      </x:c>
      <x:c r="G219" s="12" t="n">
        <x:f>F219/'客户小时分布'!$C$6</x:f>
        <x:v>0.00019026008684410242</x:v>
      </x:c>
      <x:c r="H219" s="12" t="n">
        <x:f>SUM($C$8:C219)/'客户小时分布'!$C$8</x:f>
        <x:v>0.9991185170000293</x:v>
      </x:c>
    </x:row>
    <x:row r="220" ht="22" customHeight="1">
      <x:c r="A220" s="2"/>
      <x:c r="B220" s="8" t="n">
        <x:v>213</x:v>
      </x:c>
      <x:c r="C220" s="8" t="n">
        <x:v>12</x:v>
      </x:c>
      <x:c r="D220" s="12" t="n">
        <x:f>C220/'客户小时分布'!$C$8</x:f>
        <x:v>0.00001757108970041292</x:v>
      </x:c>
      <x:c r="E220" s="12" t="n">
        <x:f>C220/'客户小时分布'!$C$10</x:f>
        <x:v>0.0000016129032258064516</x:v>
      </x:c>
      <x:c r="F220" s="8" t="n">
        <x:f>B220*C220</x:f>
        <x:v>2556</x:v>
      </x:c>
      <x:c r="G220" s="12" t="n">
        <x:f>F220/'客户小时分布'!$C$6</x:f>
        <x:v>0.00020853549827338155</x:v>
      </x:c>
      <x:c r="H220" s="12" t="n">
        <x:f>SUM($C$8:C220)/'客户小时分布'!$C$8</x:f>
        <x:v>0.9991360880897296</x:v>
      </x:c>
    </x:row>
    <x:row r="221" ht="22" customHeight="1">
      <x:c r="A221" s="2"/>
      <x:c r="B221" s="8" t="n">
        <x:v>214</x:v>
      </x:c>
      <x:c r="C221" s="8" t="n">
        <x:v>15</x:v>
      </x:c>
      <x:c r="D221" s="12" t="n">
        <x:f>C221/'客户小时分布'!$C$8</x:f>
        <x:v>0.000021963862125516152</x:v>
      </x:c>
      <x:c r="E221" s="12" t="n">
        <x:f>C221/'客户小时分布'!$C$10</x:f>
        <x:v>0.0000020161290322580646</x:v>
      </x:c>
      <x:c r="F221" s="8" t="n">
        <x:f>B221*C221</x:f>
        <x:v>3210</x:v>
      </x:c>
      <x:c r="G221" s="12" t="n">
        <x:f>F221/'客户小时分布'!$C$6</x:f>
        <x:v>0.0002618931727142233</x:v>
      </x:c>
      <x:c r="H221" s="12" t="n">
        <x:f>SUM($C$8:C221)/'客户小时分布'!$C$8</x:f>
        <x:v>0.9991580519518553</x:v>
      </x:c>
    </x:row>
    <x:row r="222" ht="22" customHeight="1">
      <x:c r="A222" s="2"/>
      <x:c r="B222" s="8" t="n">
        <x:v>215</x:v>
      </x:c>
      <x:c r="C222" s="8" t="n">
        <x:v>14</x:v>
      </x:c>
      <x:c r="D222" s="12" t="n">
        <x:f>C222/'客户小时分布'!$C$8</x:f>
        <x:v>0.00002049960465048174</x:v>
      </x:c>
      <x:c r="E222" s="12" t="n">
        <x:f>C222/'客户小时分布'!$C$10</x:f>
        <x:v>0.000001881720430107527</x:v>
      </x:c>
      <x:c r="F222" s="8" t="n">
        <x:f>B222*C222</x:f>
        <x:v>3010</x:v>
      </x:c>
      <x:c r="G222" s="12" t="n">
        <x:f>F222/'客户小时分布'!$C$6</x:f>
        <x:v>0.0002455758410809384</x:v>
      </x:c>
      <x:c r="H222" s="12" t="n">
        <x:f>SUM($C$8:C222)/'客户小时分布'!$C$8</x:f>
        <x:v>0.9991785515565057</x:v>
      </x:c>
    </x:row>
    <x:row r="223" ht="22" customHeight="1">
      <x:c r="A223" s="2"/>
      <x:c r="B223" s="8" t="n">
        <x:v>216</x:v>
      </x:c>
      <x:c r="C223" s="8" t="n">
        <x:v>15</x:v>
      </x:c>
      <x:c r="D223" s="12" t="n">
        <x:f>C223/'客户小时分布'!$C$8</x:f>
        <x:v>0.000021963862125516152</x:v>
      </x:c>
      <x:c r="E223" s="12" t="n">
        <x:f>C223/'客户小时分布'!$C$10</x:f>
        <x:v>0.0000020161290322580646</x:v>
      </x:c>
      <x:c r="F223" s="8" t="n">
        <x:f>B223*C223</x:f>
        <x:v>3240</x:v>
      </x:c>
      <x:c r="G223" s="12" t="n">
        <x:f>F223/'客户小时分布'!$C$6</x:f>
        <x:v>0.00026434077245921606</x:v>
      </x:c>
      <x:c r="H223" s="12" t="n">
        <x:f>SUM($C$8:C223)/'客户小时分布'!$C$8</x:f>
        <x:v>0.9992005154186312</x:v>
      </x:c>
    </x:row>
    <x:row r="224" ht="22" customHeight="1">
      <x:c r="A224" s="2"/>
      <x:c r="B224" s="8" t="n">
        <x:v>217</x:v>
      </x:c>
      <x:c r="C224" s="8" t="n">
        <x:v>10</x:v>
      </x:c>
      <x:c r="D224" s="12" t="n">
        <x:f>C224/'客户小时分布'!$C$8</x:f>
        <x:v>0.0000146425747503441</x:v>
      </x:c>
      <x:c r="E224" s="12" t="n">
        <x:f>C224/'客户小时分布'!$C$10</x:f>
        <x:v>0.0000013440860215053763</x:v>
      </x:c>
      <x:c r="F224" s="8" t="n">
        <x:f>B224*C224</x:f>
        <x:v>2170</x:v>
      </x:c>
      <x:c r="G224" s="12" t="n">
        <x:f>F224/'客户小时分布'!$C$6</x:f>
        <x:v>0.00017704304822114162</x:v>
      </x:c>
      <x:c r="H224" s="12" t="n">
        <x:f>SUM($C$8:C224)/'客户小时分布'!$C$8</x:f>
        <x:v>0.9992151579933816</x:v>
      </x:c>
    </x:row>
    <x:row r="225" ht="22" customHeight="1">
      <x:c r="A225" s="2"/>
      <x:c r="B225" s="8" t="n">
        <x:v>218</x:v>
      </x:c>
      <x:c r="C225" s="8" t="n">
        <x:v>21</x:v>
      </x:c>
      <x:c r="D225" s="12" t="n">
        <x:f>C225/'客户小时分布'!$C$8</x:f>
        <x:v>0.00003074940697572261</x:v>
      </x:c>
      <x:c r="E225" s="12" t="n">
        <x:f>C225/'客户小时分布'!$C$10</x:f>
        <x:v>0.00000282258064516129</x:v>
      </x:c>
      <x:c r="F225" s="8" t="n">
        <x:f>B225*C225</x:f>
        <x:v>4578</x:v>
      </x:c>
      <x:c r="G225" s="12" t="n">
        <x:f>F225/'客户小时分布'!$C$6</x:f>
        <x:v>0.0003735037210858923</x:v>
      </x:c>
      <x:c r="H225" s="12" t="n">
        <x:f>SUM($C$8:C225)/'客户小时分布'!$C$8</x:f>
        <x:v>0.9992459074003572</x:v>
      </x:c>
    </x:row>
    <x:row r="226" ht="22" customHeight="1">
      <x:c r="A226" s="2"/>
      <x:c r="B226" s="8" t="n">
        <x:v>219</x:v>
      </x:c>
      <x:c r="C226" s="8" t="n">
        <x:v>17</x:v>
      </x:c>
      <x:c r="D226" s="12" t="n">
        <x:f>C226/'客户小时分布'!$C$8</x:f>
        <x:v>0.00002489237707558497</x:v>
      </x:c>
      <x:c r="E226" s="12" t="n">
        <x:f>C226/'客户小时分布'!$C$10</x:f>
        <x:v>0.00000228494623655914</x:v>
      </x:c>
      <x:c r="F226" s="8" t="n">
        <x:f>B226*C226</x:f>
        <x:v>3723</x:v>
      </x:c>
      <x:c r="G226" s="12" t="n">
        <x:f>F226/'客户小时分布'!$C$6</x:f>
        <x:v>0.00030374712835359917</x:v>
      </x:c>
      <x:c r="H226" s="12" t="n">
        <x:f>SUM($C$8:C226)/'客户小时分布'!$C$8</x:f>
        <x:v>0.9992707997774328</x:v>
      </x:c>
    </x:row>
    <x:row r="227" ht="22" customHeight="1">
      <x:c r="A227" s="2"/>
      <x:c r="B227" s="8" t="n">
        <x:v>220</x:v>
      </x:c>
      <x:c r="C227" s="8" t="n">
        <x:v>12</x:v>
      </x:c>
      <x:c r="D227" s="12" t="n">
        <x:f>C227/'客户小时分布'!$C$8</x:f>
        <x:v>0.00001757108970041292</x:v>
      </x:c>
      <x:c r="E227" s="12" t="n">
        <x:f>C227/'客户小时分布'!$C$10</x:f>
        <x:v>0.0000016129032258064516</x:v>
      </x:c>
      <x:c r="F227" s="8" t="n">
        <x:f>B227*C227</x:f>
        <x:v>2640</x:v>
      </x:c>
      <x:c r="G227" s="12" t="n">
        <x:f>F227/'客户小时分布'!$C$6</x:f>
        <x:v>0.00021538877755936122</x:v>
      </x:c>
      <x:c r="H227" s="12" t="n">
        <x:f>SUM($C$8:C227)/'客户小时分布'!$C$8</x:f>
        <x:v>0.9992883708671333</x:v>
      </x:c>
    </x:row>
    <x:row r="228" ht="22" customHeight="1">
      <x:c r="A228" s="2"/>
      <x:c r="B228" s="8" t="n">
        <x:v>221</x:v>
      </x:c>
      <x:c r="C228" s="8" t="n">
        <x:v>10</x:v>
      </x:c>
      <x:c r="D228" s="12" t="n">
        <x:f>C228/'客户小时分布'!$C$8</x:f>
        <x:v>0.0000146425747503441</x:v>
      </x:c>
      <x:c r="E228" s="12" t="n">
        <x:f>C228/'客户小时分布'!$C$10</x:f>
        <x:v>0.0000013440860215053763</x:v>
      </x:c>
      <x:c r="F228" s="8" t="n">
        <x:f>B228*C228</x:f>
        <x:v>2210</x:v>
      </x:c>
      <x:c r="G228" s="12" t="n">
        <x:f>F228/'客户小时分布'!$C$6</x:f>
        <x:v>0.0001803065145477986</x:v>
      </x:c>
      <x:c r="H228" s="12" t="n">
        <x:f>SUM($C$8:C228)/'客户小时分布'!$C$8</x:f>
        <x:v>0.9993030134418837</x:v>
      </x:c>
    </x:row>
    <x:row r="229" ht="22" customHeight="1">
      <x:c r="A229" s="2"/>
      <x:c r="B229" s="8" t="n">
        <x:v>222</x:v>
      </x:c>
      <x:c r="C229" s="8" t="n">
        <x:v>10</x:v>
      </x:c>
      <x:c r="D229" s="12" t="n">
        <x:f>C229/'客户小时分布'!$C$8</x:f>
        <x:v>0.0000146425747503441</x:v>
      </x:c>
      <x:c r="E229" s="12" t="n">
        <x:f>C229/'客户小时分布'!$C$10</x:f>
        <x:v>0.0000013440860215053763</x:v>
      </x:c>
      <x:c r="F229" s="8" t="n">
        <x:f>B229*C229</x:f>
        <x:v>2220</x:v>
      </x:c>
      <x:c r="G229" s="12" t="n">
        <x:f>F229/'客户小时分布'!$C$6</x:f>
        <x:v>0.00018112238112946285</x:v>
      </x:c>
      <x:c r="H229" s="12" t="n">
        <x:f>SUM($C$8:C229)/'客户小时分布'!$C$8</x:f>
        <x:v>0.9993176560166339</x:v>
      </x:c>
    </x:row>
    <x:row r="230" ht="22" customHeight="1">
      <x:c r="A230" s="2"/>
      <x:c r="B230" s="8" t="n">
        <x:v>223</x:v>
      </x:c>
      <x:c r="C230" s="8" t="n">
        <x:v>10</x:v>
      </x:c>
      <x:c r="D230" s="12" t="n">
        <x:f>C230/'客户小时分布'!$C$8</x:f>
        <x:v>0.0000146425747503441</x:v>
      </x:c>
      <x:c r="E230" s="12" t="n">
        <x:f>C230/'客户小时分布'!$C$10</x:f>
        <x:v>0.0000013440860215053763</x:v>
      </x:c>
      <x:c r="F230" s="8" t="n">
        <x:f>B230*C230</x:f>
        <x:v>2230</x:v>
      </x:c>
      <x:c r="G230" s="12" t="n">
        <x:f>F230/'客户小时分布'!$C$6</x:f>
        <x:v>0.0001819382477111271</x:v>
      </x:c>
      <x:c r="H230" s="12" t="n">
        <x:f>SUM($C$8:C230)/'客户小时分布'!$C$8</x:f>
        <x:v>0.9993322985913843</x:v>
      </x:c>
    </x:row>
    <x:row r="231" ht="22" customHeight="1">
      <x:c r="A231" s="2"/>
      <x:c r="B231" s="8" t="n">
        <x:v>224</x:v>
      </x:c>
      <x:c r="C231" s="8" t="n">
        <x:v>7</x:v>
      </x:c>
      <x:c r="D231" s="12" t="n">
        <x:f>C231/'客户小时分布'!$C$8</x:f>
        <x:v>0.00001024980232524087</x:v>
      </x:c>
      <x:c r="E231" s="12" t="n">
        <x:f>C231/'客户小时分布'!$C$10</x:f>
        <x:v>9.408602150537635e-7</x:v>
      </x:c>
      <x:c r="F231" s="8" t="n">
        <x:f>B231*C231</x:f>
        <x:v>1568</x:v>
      </x:c>
      <x:c r="G231" s="12" t="n">
        <x:f>F231/'客户小时分布'!$C$6</x:f>
        <x:v>0.00012792788000495395</x:v>
      </x:c>
      <x:c r="H231" s="12" t="n">
        <x:f>SUM($C$8:C231)/'客户小时分布'!$C$8</x:f>
        <x:v>0.9993425483937095</x:v>
      </x:c>
    </x:row>
    <x:row r="232" ht="22" customHeight="1">
      <x:c r="A232" s="2"/>
      <x:c r="B232" s="8" t="n">
        <x:v>225</x:v>
      </x:c>
      <x:c r="C232" s="8" t="n">
        <x:v>8</x:v>
      </x:c>
      <x:c r="D232" s="12" t="n">
        <x:f>C232/'客户小时分布'!$C$8</x:f>
        <x:v>0.00001171405980027528</x:v>
      </x:c>
      <x:c r="E232" s="12" t="n">
        <x:f>C232/'客户小时分布'!$C$10</x:f>
        <x:v>0.0000010752688172043011</x:v>
      </x:c>
      <x:c r="F232" s="8" t="n">
        <x:f>B232*C232</x:f>
        <x:v>1800</x:v>
      </x:c>
      <x:c r="G232" s="12" t="n">
        <x:f>F232/'客户小时分布'!$C$6</x:f>
        <x:v>0.00014685598469956447</x:v>
      </x:c>
      <x:c r="H232" s="12" t="n">
        <x:f>SUM($C$8:C232)/'客户小时分布'!$C$8</x:f>
        <x:v>0.9993542624535098</x:v>
      </x:c>
    </x:row>
    <x:row r="233" ht="22" customHeight="1">
      <x:c r="A233" s="2"/>
      <x:c r="B233" s="8" t="n">
        <x:v>226</x:v>
      </x:c>
      <x:c r="C233" s="8" t="n">
        <x:v>8</x:v>
      </x:c>
      <x:c r="D233" s="12" t="n">
        <x:f>C233/'客户小时分布'!$C$8</x:f>
        <x:v>0.00001171405980027528</x:v>
      </x:c>
      <x:c r="E233" s="12" t="n">
        <x:f>C233/'客户小时分布'!$C$10</x:f>
        <x:v>0.0000010752688172043011</x:v>
      </x:c>
      <x:c r="F233" s="8" t="n">
        <x:f>B233*C233</x:f>
        <x:v>1808</x:v>
      </x:c>
      <x:c r="G233" s="12" t="n">
        <x:f>F233/'客户小时分布'!$C$6</x:f>
        <x:v>0.00014750867796489586</x:v>
      </x:c>
      <x:c r="H233" s="12" t="n">
        <x:f>SUM($C$8:C233)/'客户小时分布'!$C$8</x:f>
        <x:v>0.99936597651331</x:v>
      </x:c>
    </x:row>
    <x:row r="234" ht="22" customHeight="1">
      <x:c r="A234" s="2"/>
      <x:c r="B234" s="8" t="n">
        <x:v>227</x:v>
      </x:c>
      <x:c r="C234" s="8" t="n">
        <x:v>7</x:v>
      </x:c>
      <x:c r="D234" s="12" t="n">
        <x:f>C234/'客户小时分布'!$C$8</x:f>
        <x:v>0.00001024980232524087</x:v>
      </x:c>
      <x:c r="E234" s="12" t="n">
        <x:f>C234/'客户小时分布'!$C$10</x:f>
        <x:v>9.408602150537635e-7</x:v>
      </x:c>
      <x:c r="F234" s="8" t="n">
        <x:f>B234*C234</x:f>
        <x:v>1589</x:v>
      </x:c>
      <x:c r="G234" s="12" t="n">
        <x:f>F234/'客户小时分布'!$C$6</x:f>
        <x:v>0.00012964119982644887</x:v>
      </x:c>
      <x:c r="H234" s="12" t="n">
        <x:f>SUM($C$8:C234)/'客户小时分布'!$C$8</x:f>
        <x:v>0.9993762263156354</x:v>
      </x:c>
    </x:row>
    <x:row r="235" ht="22" customHeight="1">
      <x:c r="A235" s="2"/>
      <x:c r="B235" s="8" t="n">
        <x:v>228</x:v>
      </x:c>
      <x:c r="C235" s="8" t="n">
        <x:v>10</x:v>
      </x:c>
      <x:c r="D235" s="12" t="n">
        <x:f>C235/'客户小时分布'!$C$8</x:f>
        <x:v>0.0000146425747503441</x:v>
      </x:c>
      <x:c r="E235" s="12" t="n">
        <x:f>C235/'客户小时分布'!$C$10</x:f>
        <x:v>0.0000013440860215053763</x:v>
      </x:c>
      <x:c r="F235" s="8" t="n">
        <x:f>B235*C235</x:f>
        <x:v>2280</x:v>
      </x:c>
      <x:c r="G235" s="12" t="n">
        <x:f>F235/'客户小时分布'!$C$6</x:f>
        <x:v>0.00018601758061944834</x:v>
      </x:c>
      <x:c r="H235" s="12" t="n">
        <x:f>SUM($C$8:C235)/'客户小时分布'!$C$8</x:f>
        <x:v>0.9993908688903856</x:v>
      </x:c>
    </x:row>
    <x:row r="236" ht="22" customHeight="1">
      <x:c r="A236" s="2"/>
      <x:c r="B236" s="8" t="n">
        <x:v>229</x:v>
      </x:c>
      <x:c r="C236" s="8" t="n">
        <x:v>9</x:v>
      </x:c>
      <x:c r="D236" s="12" t="n">
        <x:f>C236/'客户小时分布'!$C$8</x:f>
        <x:v>0.000013178317275309691</x:v>
      </x:c>
      <x:c r="E236" s="12" t="n">
        <x:f>C236/'客户小时分布'!$C$10</x:f>
        <x:v>0.0000012096774193548388</x:v>
      </x:c>
      <x:c r="F236" s="8" t="n">
        <x:f>B236*C236</x:f>
        <x:v>2061</x:v>
      </x:c>
      <x:c r="G236" s="12" t="n">
        <x:f>F236/'客户小时分布'!$C$6</x:f>
        <x:v>0.00016815010248100133</x:v>
      </x:c>
      <x:c r="H236" s="12" t="n">
        <x:f>SUM($C$8:C236)/'客户小时分布'!$C$8</x:f>
        <x:v>0.999404047207661</x:v>
      </x:c>
    </x:row>
    <x:row r="237" ht="22" customHeight="1">
      <x:c r="A237" s="2"/>
      <x:c r="B237" s="8" t="n">
        <x:v>230</x:v>
      </x:c>
      <x:c r="C237" s="8" t="n">
        <x:v>11</x:v>
      </x:c>
      <x:c r="D237" s="12" t="n">
        <x:f>C237/'客户小时分布'!$C$8</x:f>
        <x:v>0.00001610683222537851</x:v>
      </x:c>
      <x:c r="E237" s="12" t="n">
        <x:f>C237/'客户小时分布'!$C$10</x:f>
        <x:v>0.000001478494623655914</x:v>
      </x:c>
      <x:c r="F237" s="8" t="n">
        <x:f>B237*C237</x:f>
        <x:v>2530</x:v>
      </x:c>
      <x:c r="G237" s="12" t="n">
        <x:f>F237/'客户小时分布'!$C$6</x:f>
        <x:v>0.00020641424516105452</x:v>
      </x:c>
      <x:c r="H237" s="12" t="n">
        <x:f>SUM($C$8:C237)/'客户小时分布'!$C$8</x:f>
        <x:v>0.9994201540398864</x:v>
      </x:c>
    </x:row>
    <x:row r="238" ht="22" customHeight="1">
      <x:c r="A238" s="2"/>
      <x:c r="B238" s="8" t="n">
        <x:v>231</x:v>
      </x:c>
      <x:c r="C238" s="8" t="n">
        <x:v>10</x:v>
      </x:c>
      <x:c r="D238" s="12" t="n">
        <x:f>C238/'客户小时分布'!$C$8</x:f>
        <x:v>0.0000146425747503441</x:v>
      </x:c>
      <x:c r="E238" s="12" t="n">
        <x:f>C238/'客户小时分布'!$C$10</x:f>
        <x:v>0.0000013440860215053763</x:v>
      </x:c>
      <x:c r="F238" s="8" t="n">
        <x:f>B238*C238</x:f>
        <x:v>2310</x:v>
      </x:c>
      <x:c r="G238" s="12" t="n">
        <x:f>F238/'客户小时分布'!$C$6</x:f>
        <x:v>0.00018846518036444107</x:v>
      </x:c>
      <x:c r="H238" s="12" t="n">
        <x:f>SUM($C$8:C238)/'客户小时分布'!$C$8</x:f>
        <x:v>0.9994347966146367</x:v>
      </x:c>
    </x:row>
    <x:row r="239" ht="22" customHeight="1">
      <x:c r="A239" s="2"/>
      <x:c r="B239" s="8" t="n">
        <x:v>232</x:v>
      </x:c>
      <x:c r="C239" s="8" t="n">
        <x:v>5</x:v>
      </x:c>
      <x:c r="D239" s="12" t="n">
        <x:f>C239/'客户小时分布'!$C$8</x:f>
        <x:v>0.00000732128737517205</x:v>
      </x:c>
      <x:c r="E239" s="12" t="n">
        <x:f>C239/'客户小时分布'!$C$10</x:f>
        <x:v>6.720430107526881e-7</x:v>
      </x:c>
      <x:c r="F239" s="8" t="n">
        <x:f>B239*C239</x:f>
        <x:v>1160</x:v>
      </x:c>
      <x:c r="G239" s="12" t="n">
        <x:f>F239/'客户小时分布'!$C$6</x:f>
        <x:v>0.00009464052347305267</x:v>
      </x:c>
      <x:c r="H239" s="12" t="n">
        <x:f>SUM($C$8:C239)/'客户小时分布'!$C$8</x:f>
        <x:v>0.9994421179020119</x:v>
      </x:c>
    </x:row>
    <x:row r="240" ht="22" customHeight="1">
      <x:c r="A240" s="2"/>
      <x:c r="B240" s="8" t="n">
        <x:v>233</x:v>
      </x:c>
      <x:c r="C240" s="8" t="n">
        <x:v>7</x:v>
      </x:c>
      <x:c r="D240" s="12" t="n">
        <x:f>C240/'客户小时分布'!$C$8</x:f>
        <x:v>0.00001024980232524087</x:v>
      </x:c>
      <x:c r="E240" s="12" t="n">
        <x:f>C240/'客户小时分布'!$C$10</x:f>
        <x:v>9.408602150537635e-7</x:v>
      </x:c>
      <x:c r="F240" s="8" t="n">
        <x:f>B240*C240</x:f>
        <x:v>1631</x:v>
      </x:c>
      <x:c r="G240" s="12" t="n">
        <x:f>F240/'客户小时分布'!$C$6</x:f>
        <x:v>0.0001330678394694387</x:v>
      </x:c>
      <x:c r="H240" s="12" t="n">
        <x:f>SUM($C$8:C240)/'客户小时分布'!$C$8</x:f>
        <x:v>0.9994523677043371</x:v>
      </x:c>
    </x:row>
    <x:row r="241" ht="22" customHeight="1">
      <x:c r="A241" s="2"/>
      <x:c r="B241" s="8" t="n">
        <x:v>234</x:v>
      </x:c>
      <x:c r="C241" s="8" t="n">
        <x:v>9</x:v>
      </x:c>
      <x:c r="D241" s="12" t="n">
        <x:f>C241/'客户小时分布'!$C$8</x:f>
        <x:v>0.000013178317275309691</x:v>
      </x:c>
      <x:c r="E241" s="12" t="n">
        <x:f>C241/'客户小时分布'!$C$10</x:f>
        <x:v>0.0000012096774193548388</x:v>
      </x:c>
      <x:c r="F241" s="8" t="n">
        <x:f>B241*C241</x:f>
        <x:v>2106</x:v>
      </x:c>
      <x:c r="G241" s="12" t="n">
        <x:f>F241/'客户小时分布'!$C$6</x:f>
        <x:v>0.00017182150209849042</x:v>
      </x:c>
      <x:c r="H241" s="12" t="n">
        <x:f>SUM($C$8:C241)/'客户小时分布'!$C$8</x:f>
        <x:v>0.9994655460216124</x:v>
      </x:c>
    </x:row>
    <x:row r="242" ht="22" customHeight="1">
      <x:c r="A242" s="2"/>
      <x:c r="B242" s="8" t="n">
        <x:v>235</x:v>
      </x:c>
      <x:c r="C242" s="8" t="n">
        <x:v>10</x:v>
      </x:c>
      <x:c r="D242" s="12" t="n">
        <x:f>C242/'客户小时分布'!$C$8</x:f>
        <x:v>0.0000146425747503441</x:v>
      </x:c>
      <x:c r="E242" s="12" t="n">
        <x:f>C242/'客户小时分布'!$C$10</x:f>
        <x:v>0.0000013440860215053763</x:v>
      </x:c>
      <x:c r="F242" s="8" t="n">
        <x:f>B242*C242</x:f>
        <x:v>2350</x:v>
      </x:c>
      <x:c r="G242" s="12" t="n">
        <x:f>F242/'客户小时分布'!$C$6</x:f>
        <x:v>0.00019172864669109806</x:v>
      </x:c>
      <x:c r="H242" s="12" t="n">
        <x:f>SUM($C$8:C242)/'客户小时分布'!$C$8</x:f>
        <x:v>0.9994801885963628</x:v>
      </x:c>
    </x:row>
    <x:row r="243" ht="22" customHeight="1">
      <x:c r="A243" s="2"/>
      <x:c r="B243" s="8" t="n">
        <x:v>236</x:v>
      </x:c>
      <x:c r="C243" s="8" t="n">
        <x:v>8</x:v>
      </x:c>
      <x:c r="D243" s="12" t="n">
        <x:f>C243/'客户小时分布'!$C$8</x:f>
        <x:v>0.00001171405980027528</x:v>
      </x:c>
      <x:c r="E243" s="12" t="n">
        <x:f>C243/'客户小时分布'!$C$10</x:f>
        <x:v>0.0000010752688172043011</x:v>
      </x:c>
      <x:c r="F243" s="8" t="n">
        <x:f>B243*C243</x:f>
        <x:v>1888</x:v>
      </x:c>
      <x:c r="G243" s="12" t="n">
        <x:f>F243/'客户小时分布'!$C$6</x:f>
        <x:v>0.00015403561061820984</x:v>
      </x:c>
      <x:c r="H243" s="12" t="n">
        <x:f>SUM($C$8:C243)/'客户小时分布'!$C$8</x:f>
        <x:v>0.9994919026561631</x:v>
      </x:c>
    </x:row>
    <x:row r="244" ht="22" customHeight="1">
      <x:c r="A244" s="2"/>
      <x:c r="B244" s="8" t="n">
        <x:v>237</x:v>
      </x:c>
      <x:c r="C244" s="8" t="n">
        <x:v>4</x:v>
      </x:c>
      <x:c r="D244" s="12" t="n">
        <x:f>C244/'客户小时分布'!$C$8</x:f>
        <x:v>0.00000585702990013764</x:v>
      </x:c>
      <x:c r="E244" s="12" t="n">
        <x:f>C244/'客户小时分布'!$C$10</x:f>
        <x:v>5.376344086021506e-7</x:v>
      </x:c>
      <x:c r="F244" s="8" t="n">
        <x:f>B244*C244</x:f>
        <x:v>948</x:v>
      </x:c>
      <x:c r="G244" s="12" t="n">
        <x:f>F244/'客户小时分布'!$C$6</x:f>
        <x:v>0.00007734415194177062</x:v>
      </x:c>
      <x:c r="H244" s="12" t="n">
        <x:f>SUM($C$8:C244)/'客户小时分布'!$C$8</x:f>
        <x:v>0.9994977596860632</x:v>
      </x:c>
    </x:row>
    <x:row r="245" ht="22" customHeight="1">
      <x:c r="A245" s="2"/>
      <x:c r="B245" s="8" t="n">
        <x:v>238</x:v>
      </x:c>
      <x:c r="C245" s="8" t="n">
        <x:v>9</x:v>
      </x:c>
      <x:c r="D245" s="12" t="n">
        <x:f>C245/'客户小时分布'!$C$8</x:f>
        <x:v>0.000013178317275309691</x:v>
      </x:c>
      <x:c r="E245" s="12" t="n">
        <x:f>C245/'客户小时分布'!$C$10</x:f>
        <x:v>0.0000012096774193548388</x:v>
      </x:c>
      <x:c r="F245" s="8" t="n">
        <x:f>B245*C245</x:f>
        <x:v>2142</x:v>
      </x:c>
      <x:c r="G245" s="12" t="n">
        <x:f>F245/'客户小时分布'!$C$6</x:f>
        <x:v>0.00017475862179248172</x:v>
      </x:c>
      <x:c r="H245" s="12" t="n">
        <x:f>SUM($C$8:C245)/'客户小时分布'!$C$8</x:f>
        <x:v>0.9995109380033385</x:v>
      </x:c>
    </x:row>
    <x:row r="246" ht="22" customHeight="1">
      <x:c r="A246" s="2"/>
      <x:c r="B246" s="8" t="n">
        <x:v>239</x:v>
      </x:c>
      <x:c r="C246" s="8" t="n">
        <x:v>12</x:v>
      </x:c>
      <x:c r="D246" s="12" t="n">
        <x:f>C246/'客户小时分布'!$C$8</x:f>
        <x:v>0.00001757108970041292</x:v>
      </x:c>
      <x:c r="E246" s="12" t="n">
        <x:f>C246/'客户小时分布'!$C$10</x:f>
        <x:v>0.0000016129032258064516</x:v>
      </x:c>
      <x:c r="F246" s="8" t="n">
        <x:f>B246*C246</x:f>
        <x:v>2868</x:v>
      </x:c>
      <x:c r="G246" s="12" t="n">
        <x:f>F246/'客户小时分布'!$C$6</x:f>
        <x:v>0.00023399053562130607</x:v>
      </x:c>
      <x:c r="H246" s="12" t="n">
        <x:f>SUM($C$8:C246)/'客户小时分布'!$C$8</x:f>
        <x:v>0.9995285090930389</x:v>
      </x:c>
    </x:row>
    <x:row r="247" ht="22" customHeight="1">
      <x:c r="A247" s="2"/>
      <x:c r="B247" s="8" t="n">
        <x:v>240</x:v>
      </x:c>
      <x:c r="C247" s="8" t="n">
        <x:v>5</x:v>
      </x:c>
      <x:c r="D247" s="12" t="n">
        <x:f>C247/'客户小时分布'!$C$8</x:f>
        <x:v>0.00000732128737517205</x:v>
      </x:c>
      <x:c r="E247" s="12" t="n">
        <x:f>C247/'客户小时分布'!$C$10</x:f>
        <x:v>6.720430107526881e-7</x:v>
      </x:c>
      <x:c r="F247" s="8" t="n">
        <x:f>B247*C247</x:f>
        <x:v>1200</x:v>
      </x:c>
      <x:c r="G247" s="12" t="n">
        <x:f>F247/'客户小时分布'!$C$6</x:f>
        <x:v>0.00009790398979970964</x:v>
      </x:c>
      <x:c r="H247" s="12" t="n">
        <x:f>SUM($C$8:C247)/'客户小时分布'!$C$8</x:f>
        <x:v>0.999535830380414</x:v>
      </x:c>
    </x:row>
    <x:row r="248" ht="22" customHeight="1">
      <x:c r="A248" s="2"/>
      <x:c r="B248" s="8" t="n">
        <x:v>241</x:v>
      </x:c>
      <x:c r="C248" s="8" t="n">
        <x:v>7</x:v>
      </x:c>
      <x:c r="D248" s="12" t="n">
        <x:f>C248/'客户小时分布'!$C$8</x:f>
        <x:v>0.00001024980232524087</x:v>
      </x:c>
      <x:c r="E248" s="12" t="n">
        <x:f>C248/'客户小时分布'!$C$10</x:f>
        <x:v>9.408602150537635e-7</x:v>
      </x:c>
      <x:c r="F248" s="8" t="n">
        <x:f>B248*C248</x:f>
        <x:v>1687</x:v>
      </x:c>
      <x:c r="G248" s="12" t="n">
        <x:f>F248/'客户小时分布'!$C$6</x:f>
        <x:v>0.00013763669232675849</x:v>
      </x:c>
      <x:c r="H248" s="12" t="n">
        <x:f>SUM($C$8:C248)/'客户小时分布'!$C$8</x:f>
        <x:v>0.9995460801827394</x:v>
      </x:c>
    </x:row>
    <x:row r="249" ht="22" customHeight="1">
      <x:c r="A249" s="2"/>
      <x:c r="B249" s="8" t="n">
        <x:v>242</x:v>
      </x:c>
      <x:c r="C249" s="8" t="n">
        <x:v>8</x:v>
      </x:c>
      <x:c r="D249" s="12" t="n">
        <x:f>C249/'客户小时分布'!$C$8</x:f>
        <x:v>0.00001171405980027528</x:v>
      </x:c>
      <x:c r="E249" s="12" t="n">
        <x:f>C249/'客户小时分布'!$C$10</x:f>
        <x:v>0.0000010752688172043011</x:v>
      </x:c>
      <x:c r="F249" s="8" t="n">
        <x:f>B249*C249</x:f>
        <x:v>1936</x:v>
      </x:c>
      <x:c r="G249" s="12" t="n">
        <x:f>F249/'客户小时分布'!$C$6</x:f>
        <x:v>0.00015795177021019822</x:v>
      </x:c>
      <x:c r="H249" s="12" t="n">
        <x:f>SUM($C$8:C249)/'客户小时分布'!$C$8</x:f>
        <x:v>0.9995577942425397</x:v>
      </x:c>
    </x:row>
    <x:row r="250" ht="22" customHeight="1">
      <x:c r="A250" s="2"/>
      <x:c r="B250" s="8" t="n">
        <x:v>243</x:v>
      </x:c>
      <x:c r="C250" s="8" t="n">
        <x:v>1</x:v>
      </x:c>
      <x:c r="D250" s="12" t="n">
        <x:f>C250/'客户小时分布'!$C$8</x:f>
        <x:v>0.00000146425747503441</x:v>
      </x:c>
      <x:c r="E250" s="12" t="n">
        <x:f>C250/'客户小时分布'!$C$10</x:f>
        <x:v>1.3440860215053764e-7</x:v>
      </x:c>
      <x:c r="F250" s="8" t="n">
        <x:f>B250*C250</x:f>
        <x:v>243</x:v>
      </x:c>
      <x:c r="G250" s="12" t="n">
        <x:f>F250/'客户小时分布'!$C$6</x:f>
        <x:v>0.000019825557934441206</x:v>
      </x:c>
      <x:c r="H250" s="12" t="n">
        <x:f>SUM($C$8:C250)/'客户小时分布'!$C$8</x:f>
        <x:v>0.9995592585000146</x:v>
      </x:c>
    </x:row>
    <x:row r="251" ht="22" customHeight="1">
      <x:c r="A251" s="2"/>
      <x:c r="B251" s="8" t="n">
        <x:v>244</x:v>
      </x:c>
      <x:c r="C251" s="8" t="n">
        <x:v>5</x:v>
      </x:c>
      <x:c r="D251" s="12" t="n">
        <x:f>C251/'客户小时分布'!$C$8</x:f>
        <x:v>0.00000732128737517205</x:v>
      </x:c>
      <x:c r="E251" s="12" t="n">
        <x:f>C251/'客户小时分布'!$C$10</x:f>
        <x:v>6.720430107526881e-7</x:v>
      </x:c>
      <x:c r="F251" s="8" t="n">
        <x:f>B251*C251</x:f>
        <x:v>1220</x:v>
      </x:c>
      <x:c r="G251" s="12" t="n">
        <x:f>F251/'客户小时分布'!$C$6</x:f>
        <x:v>0.00009953572296303814</x:v>
      </x:c>
      <x:c r="H251" s="12" t="n">
        <x:f>SUM($C$8:C251)/'客户小时分布'!$C$8</x:f>
        <x:v>0.9995665797873898</x:v>
      </x:c>
    </x:row>
    <x:row r="252" ht="22" customHeight="1">
      <x:c r="A252" s="2"/>
      <x:c r="B252" s="8" t="n">
        <x:v>245</x:v>
      </x:c>
      <x:c r="C252" s="8" t="n">
        <x:v>8</x:v>
      </x:c>
      <x:c r="D252" s="12" t="n">
        <x:f>C252/'客户小时分布'!$C$8</x:f>
        <x:v>0.00001171405980027528</x:v>
      </x:c>
      <x:c r="E252" s="12" t="n">
        <x:f>C252/'客户小时分布'!$C$10</x:f>
        <x:v>0.0000010752688172043011</x:v>
      </x:c>
      <x:c r="F252" s="8" t="n">
        <x:f>B252*C252</x:f>
        <x:v>1960</x:v>
      </x:c>
      <x:c r="G252" s="12" t="n">
        <x:f>F252/'客户小时分布'!$C$6</x:f>
        <x:v>0.00015990985000619243</x:v>
      </x:c>
      <x:c r="H252" s="12" t="n">
        <x:f>SUM($C$8:C252)/'客户小时分布'!$C$8</x:f>
        <x:v>0.9995782938471901</x:v>
      </x:c>
    </x:row>
    <x:row r="253" ht="22" customHeight="1">
      <x:c r="A253" s="2"/>
      <x:c r="B253" s="8" t="n">
        <x:v>246</x:v>
      </x:c>
      <x:c r="C253" s="8" t="n">
        <x:v>11</x:v>
      </x:c>
      <x:c r="D253" s="12" t="n">
        <x:f>C253/'客户小时分布'!$C$8</x:f>
        <x:v>0.00001610683222537851</x:v>
      </x:c>
      <x:c r="E253" s="12" t="n">
        <x:f>C253/'客户小时分布'!$C$10</x:f>
        <x:v>0.000001478494623655914</x:v>
      </x:c>
      <x:c r="F253" s="8" t="n">
        <x:f>B253*C253</x:f>
        <x:v>2706</x:v>
      </x:c>
      <x:c r="G253" s="12" t="n">
        <x:f>F253/'客户小时分布'!$C$6</x:f>
        <x:v>0.00022077349699834527</x:v>
      </x:c>
      <x:c r="H253" s="12" t="n">
        <x:f>SUM($C$8:C253)/'客户小时分布'!$C$8</x:f>
        <x:v>0.9995944006794155</x:v>
      </x:c>
    </x:row>
    <x:row r="254" ht="22" customHeight="1">
      <x:c r="A254" s="2"/>
      <x:c r="B254" s="8" t="n">
        <x:v>247</x:v>
      </x:c>
      <x:c r="C254" s="8" t="n">
        <x:v>7</x:v>
      </x:c>
      <x:c r="D254" s="12" t="n">
        <x:f>C254/'客户小时分布'!$C$8</x:f>
        <x:v>0.00001024980232524087</x:v>
      </x:c>
      <x:c r="E254" s="12" t="n">
        <x:f>C254/'客户小时分布'!$C$10</x:f>
        <x:v>9.408602150537635e-7</x:v>
      </x:c>
      <x:c r="F254" s="8" t="n">
        <x:f>B254*C254</x:f>
        <x:v>1729</x:v>
      </x:c>
      <x:c r="G254" s="12" t="n">
        <x:f>F254/'客户小时分布'!$C$6</x:f>
        <x:v>0.00014106333196974832</x:v>
      </x:c>
      <x:c r="H254" s="12" t="n">
        <x:f>SUM($C$8:C254)/'客户小时分布'!$C$8</x:f>
        <x:v>0.9996046504817407</x:v>
      </x:c>
    </x:row>
    <x:row r="255" ht="22" customHeight="1">
      <x:c r="A255" s="2"/>
      <x:c r="B255" s="8" t="n">
        <x:v>248</x:v>
      </x:c>
      <x:c r="C255" s="8" t="n">
        <x:v>6</x:v>
      </x:c>
      <x:c r="D255" s="12" t="n">
        <x:f>C255/'客户小时分布'!$C$8</x:f>
        <x:v>0.00000878554485020646</x:v>
      </x:c>
      <x:c r="E255" s="12" t="n">
        <x:f>C255/'客户小时分布'!$C$10</x:f>
        <x:v>8.064516129032258e-7</x:v>
      </x:c>
      <x:c r="F255" s="8" t="n">
        <x:f>B255*C255</x:f>
        <x:v>1488</x:v>
      </x:c>
      <x:c r="G255" s="12" t="n">
        <x:f>F255/'客户小时分布'!$C$6</x:f>
        <x:v>0.00012140094735163996</x:v>
      </x:c>
      <x:c r="H255" s="12" t="n">
        <x:f>SUM($C$8:C255)/'客户小时分布'!$C$8</x:f>
        <x:v>0.9996134360265909</x:v>
      </x:c>
    </x:row>
    <x:row r="256" ht="22" customHeight="1">
      <x:c r="A256" s="2"/>
      <x:c r="B256" s="8" t="n">
        <x:v>249</x:v>
      </x:c>
      <x:c r="C256" s="8" t="n">
        <x:v>5</x:v>
      </x:c>
      <x:c r="D256" s="12" t="n">
        <x:f>C256/'客户小时分布'!$C$8</x:f>
        <x:v>0.00000732128737517205</x:v>
      </x:c>
      <x:c r="E256" s="12" t="n">
        <x:f>C256/'客户小时分布'!$C$10</x:f>
        <x:v>6.720430107526881e-7</x:v>
      </x:c>
      <x:c r="F256" s="8" t="n">
        <x:f>B256*C256</x:f>
        <x:v>1245</x:v>
      </x:c>
      <x:c r="G256" s="12" t="n">
        <x:f>F256/'客户小时分布'!$C$6</x:f>
        <x:v>0.00010157538941719877</x:v>
      </x:c>
      <x:c r="H256" s="12" t="n">
        <x:f>SUM($C$8:C256)/'客户小时分布'!$C$8</x:f>
        <x:v>0.999620757313966</x:v>
      </x:c>
    </x:row>
    <x:row r="257" ht="22" customHeight="1">
      <x:c r="A257" s="2"/>
      <x:c r="B257" s="8" t="n">
        <x:v>250</x:v>
      </x:c>
      <x:c r="C257" s="8" t="n">
        <x:v>6</x:v>
      </x:c>
      <x:c r="D257" s="12" t="n">
        <x:f>C257/'客户小时分布'!$C$8</x:f>
        <x:v>0.00000878554485020646</x:v>
      </x:c>
      <x:c r="E257" s="12" t="n">
        <x:f>C257/'客户小时分布'!$C$10</x:f>
        <x:v>8.064516129032258e-7</x:v>
      </x:c>
      <x:c r="F257" s="8" t="n">
        <x:f>B257*C257</x:f>
        <x:v>1500</x:v>
      </x:c>
      <x:c r="G257" s="12" t="n">
        <x:f>F257/'客户小时分布'!$C$6</x:f>
        <x:v>0.00012237998724963706</x:v>
      </x:c>
      <x:c r="H257" s="12" t="n">
        <x:f>SUM($C$8:C257)/'客户小时分布'!$C$8</x:f>
        <x:v>0.9996295428588163</x:v>
      </x:c>
    </x:row>
    <x:row r="258" ht="22" customHeight="1">
      <x:c r="A258" s="2"/>
      <x:c r="B258" s="8" t="n">
        <x:v>251</x:v>
      </x:c>
      <x:c r="C258" s="8" t="n">
        <x:v>5</x:v>
      </x:c>
      <x:c r="D258" s="12" t="n">
        <x:f>C258/'客户小时分布'!$C$8</x:f>
        <x:v>0.00000732128737517205</x:v>
      </x:c>
      <x:c r="E258" s="12" t="n">
        <x:f>C258/'客户小时分布'!$C$10</x:f>
        <x:v>6.720430107526881e-7</x:v>
      </x:c>
      <x:c r="F258" s="8" t="n">
        <x:f>B258*C258</x:f>
        <x:v>1255</x:v>
      </x:c>
      <x:c r="G258" s="12" t="n">
        <x:f>F258/'客户小时分布'!$C$6</x:f>
        <x:v>0.00010239125599886301</x:v>
      </x:c>
      <x:c r="H258" s="12" t="n">
        <x:f>SUM($C$8:C258)/'客户小时分布'!$C$8</x:f>
        <x:v>0.9996368641461915</x:v>
      </x:c>
    </x:row>
    <x:row r="259" ht="22" customHeight="1">
      <x:c r="A259" s="2"/>
      <x:c r="B259" s="8" t="n">
        <x:v>252</x:v>
      </x:c>
      <x:c r="C259" s="8" t="n">
        <x:v>5</x:v>
      </x:c>
      <x:c r="D259" s="12" t="n">
        <x:f>C259/'客户小时分布'!$C$8</x:f>
        <x:v>0.00000732128737517205</x:v>
      </x:c>
      <x:c r="E259" s="12" t="n">
        <x:f>C259/'客户小时分布'!$C$10</x:f>
        <x:v>6.720430107526881e-7</x:v>
      </x:c>
      <x:c r="F259" s="8" t="n">
        <x:f>B259*C259</x:f>
        <x:v>1260</x:v>
      </x:c>
      <x:c r="G259" s="12" t="n">
        <x:f>F259/'客户小时分布'!$C$6</x:f>
        <x:v>0.00010279918928969513</x:v>
      </x:c>
      <x:c r="H259" s="12" t="n">
        <x:f>SUM($C$8:C259)/'客户小时分布'!$C$8</x:f>
        <x:v>0.9996441854335666</x:v>
      </x:c>
    </x:row>
    <x:row r="260" ht="22" customHeight="1">
      <x:c r="A260" s="2"/>
      <x:c r="B260" s="8" t="n">
        <x:v>253</x:v>
      </x:c>
      <x:c r="C260" s="8" t="n">
        <x:v>1</x:v>
      </x:c>
      <x:c r="D260" s="12" t="n">
        <x:f>C260/'客户小时分布'!$C$8</x:f>
        <x:v>0.00000146425747503441</x:v>
      </x:c>
      <x:c r="E260" s="12" t="n">
        <x:f>C260/'客户小时分布'!$C$10</x:f>
        <x:v>1.3440860215053764e-7</x:v>
      </x:c>
      <x:c r="F260" s="8" t="n">
        <x:f>B260*C260</x:f>
        <x:v>253</x:v>
      </x:c>
      <x:c r="G260" s="12" t="n">
        <x:f>F260/'客户小时分布'!$C$6</x:f>
        <x:v>0.00002064142451610545</x:v>
      </x:c>
      <x:c r="H260" s="12" t="n">
        <x:f>SUM($C$8:C260)/'客户小时分布'!$C$8</x:f>
        <x:v>0.9996456496910416</x:v>
      </x:c>
    </x:row>
    <x:row r="261" ht="22" customHeight="1">
      <x:c r="A261" s="2"/>
      <x:c r="B261" s="8" t="n">
        <x:v>254</x:v>
      </x:c>
      <x:c r="C261" s="8" t="n">
        <x:v>5</x:v>
      </x:c>
      <x:c r="D261" s="12" t="n">
        <x:f>C261/'客户小时分布'!$C$8</x:f>
        <x:v>0.00000732128737517205</x:v>
      </x:c>
      <x:c r="E261" s="12" t="n">
        <x:f>C261/'客户小时分布'!$C$10</x:f>
        <x:v>6.720430107526881e-7</x:v>
      </x:c>
      <x:c r="F261" s="8" t="n">
        <x:f>B261*C261</x:f>
        <x:v>1270</x:v>
      </x:c>
      <x:c r="G261" s="12" t="n">
        <x:f>F261/'客户小时分布'!$C$6</x:f>
        <x:v>0.00010361505587135938</x:v>
      </x:c>
      <x:c r="H261" s="12" t="n">
        <x:f>SUM($C$8:C261)/'客户小时分布'!$C$8</x:f>
        <x:v>0.9996529709784169</x:v>
      </x:c>
    </x:row>
    <x:row r="262" ht="22" customHeight="1">
      <x:c r="A262" s="2"/>
      <x:c r="B262" s="8" t="n">
        <x:v>255</x:v>
      </x:c>
      <x:c r="C262" s="8" t="n">
        <x:v>2</x:v>
      </x:c>
      <x:c r="D262" s="12" t="n">
        <x:f>C262/'客户小时分布'!$C$8</x:f>
        <x:v>0.00000292851495006882</x:v>
      </x:c>
      <x:c r="E262" s="12" t="n">
        <x:f>C262/'客户小时分布'!$C$10</x:f>
        <x:v>2.688172043010753e-7</x:v>
      </x:c>
      <x:c r="F262" s="8" t="n">
        <x:f>B262*C262</x:f>
        <x:v>510</x:v>
      </x:c>
      <x:c r="G262" s="12" t="n">
        <x:f>F262/'客户小时分布'!$C$6</x:f>
        <x:v>0.0000416091956648766</x:v>
      </x:c>
      <x:c r="H262" s="12" t="n">
        <x:f>SUM($C$8:C262)/'客户小时分布'!$C$8</x:f>
        <x:v>0.9996558994933669</x:v>
      </x:c>
    </x:row>
    <x:row r="263" ht="22" customHeight="1">
      <x:c r="A263" s="2"/>
      <x:c r="B263" s="8" t="n">
        <x:v>256</x:v>
      </x:c>
      <x:c r="C263" s="8" t="n">
        <x:v>5</x:v>
      </x:c>
      <x:c r="D263" s="12" t="n">
        <x:f>C263/'客户小时分布'!$C$8</x:f>
        <x:v>0.00000732128737517205</x:v>
      </x:c>
      <x:c r="E263" s="12" t="n">
        <x:f>C263/'客户小时分布'!$C$10</x:f>
        <x:v>6.720430107526881e-7</x:v>
      </x:c>
      <x:c r="F263" s="8" t="n">
        <x:f>B263*C263</x:f>
        <x:v>1280</x:v>
      </x:c>
      <x:c r="G263" s="12" t="n">
        <x:f>F263/'客户小时分布'!$C$6</x:f>
        <x:v>0.00010443092245302362</x:v>
      </x:c>
      <x:c r="H263" s="12" t="n">
        <x:f>SUM($C$8:C263)/'客户小时分布'!$C$8</x:f>
        <x:v>0.9996632207807421</x:v>
      </x:c>
    </x:row>
    <x:row r="264" ht="22" customHeight="1">
      <x:c r="A264" s="2"/>
      <x:c r="B264" s="8" t="n">
        <x:v>257</x:v>
      </x:c>
      <x:c r="C264" s="8" t="n">
        <x:v>1</x:v>
      </x:c>
      <x:c r="D264" s="12" t="n">
        <x:f>C264/'客户小时分布'!$C$8</x:f>
        <x:v>0.00000146425747503441</x:v>
      </x:c>
      <x:c r="E264" s="12" t="n">
        <x:f>C264/'客户小时分布'!$C$10</x:f>
        <x:v>1.3440860215053764e-7</x:v>
      </x:c>
      <x:c r="F264" s="8" t="n">
        <x:f>B264*C264</x:f>
        <x:v>257</x:v>
      </x:c>
      <x:c r="G264" s="12" t="n">
        <x:f>F264/'客户小时分布'!$C$6</x:f>
        <x:v>0.00002096777114877115</x:v>
      </x:c>
      <x:c r="H264" s="12" t="n">
        <x:f>SUM($C$8:C264)/'客户小时分布'!$C$8</x:f>
        <x:v>0.9996646850382171</x:v>
      </x:c>
    </x:row>
    <x:row r="265" ht="22" customHeight="1">
      <x:c r="A265" s="2"/>
      <x:c r="B265" s="8" t="n">
        <x:v>258</x:v>
      </x:c>
      <x:c r="C265" s="8" t="n">
        <x:v>2</x:v>
      </x:c>
      <x:c r="D265" s="12" t="n">
        <x:f>C265/'客户小时分布'!$C$8</x:f>
        <x:v>0.00000292851495006882</x:v>
      </x:c>
      <x:c r="E265" s="12" t="n">
        <x:f>C265/'客户小时分布'!$C$10</x:f>
        <x:v>2.688172043010753e-7</x:v>
      </x:c>
      <x:c r="F265" s="8" t="n">
        <x:f>B265*C265</x:f>
        <x:v>516</x:v>
      </x:c>
      <x:c r="G265" s="12" t="n">
        <x:f>F265/'客户小时分布'!$C$6</x:f>
        <x:v>0.000042098715613875146</x:v>
      </x:c>
      <x:c r="H265" s="12" t="n">
        <x:f>SUM($C$8:C265)/'客户小时分布'!$C$8</x:f>
        <x:v>0.9996676135531671</x:v>
      </x:c>
    </x:row>
    <x:row r="266" ht="22" customHeight="1">
      <x:c r="A266" s="2"/>
      <x:c r="B266" s="8" t="n">
        <x:v>259</x:v>
      </x:c>
      <x:c r="C266" s="8" t="n">
        <x:v>2</x:v>
      </x:c>
      <x:c r="D266" s="12" t="n">
        <x:f>C266/'客户小时分布'!$C$8</x:f>
        <x:v>0.00000292851495006882</x:v>
      </x:c>
      <x:c r="E266" s="12" t="n">
        <x:f>C266/'客户小时分布'!$C$10</x:f>
        <x:v>2.688172043010753e-7</x:v>
      </x:c>
      <x:c r="F266" s="8" t="n">
        <x:f>B266*C266</x:f>
        <x:v>518</x:v>
      </x:c>
      <x:c r="G266" s="12" t="n">
        <x:f>F266/'客户小时分布'!$C$6</x:f>
        <x:v>0.000042261888930208</x:v>
      </x:c>
      <x:c r="H266" s="12" t="n">
        <x:f>SUM($C$8:C266)/'客户小时分布'!$C$8</x:f>
        <x:v>0.9996705420681172</x:v>
      </x:c>
    </x:row>
    <x:row r="267" ht="22" customHeight="1">
      <x:c r="A267" s="2"/>
      <x:c r="B267" s="8" t="n">
        <x:v>260</x:v>
      </x:c>
      <x:c r="C267" s="8" t="n">
        <x:v>5</x:v>
      </x:c>
      <x:c r="D267" s="12" t="n">
        <x:f>C267/'客户小时分布'!$C$8</x:f>
        <x:v>0.00000732128737517205</x:v>
      </x:c>
      <x:c r="E267" s="12" t="n">
        <x:f>C267/'客户小时分布'!$C$10</x:f>
        <x:v>6.720430107526881e-7</x:v>
      </x:c>
      <x:c r="F267" s="8" t="n">
        <x:f>B267*C267</x:f>
        <x:v>1300</x:v>
      </x:c>
      <x:c r="G267" s="12" t="n">
        <x:f>F267/'客户小时分布'!$C$6</x:f>
        <x:v>0.00010606265561635212</x:v>
      </x:c>
      <x:c r="H267" s="12" t="n">
        <x:f>SUM($C$8:C267)/'客户小时分布'!$C$8</x:f>
        <x:v>0.9996778633554925</x:v>
      </x:c>
    </x:row>
    <x:row r="268" ht="22" customHeight="1">
      <x:c r="A268" s="2"/>
      <x:c r="B268" s="8" t="n">
        <x:v>261</x:v>
      </x:c>
      <x:c r="C268" s="8" t="n">
        <x:v>5</x:v>
      </x:c>
      <x:c r="D268" s="12" t="n">
        <x:f>C268/'客户小时分布'!$C$8</x:f>
        <x:v>0.00000732128737517205</x:v>
      </x:c>
      <x:c r="E268" s="12" t="n">
        <x:f>C268/'客户小时分布'!$C$10</x:f>
        <x:v>6.720430107526881e-7</x:v>
      </x:c>
      <x:c r="F268" s="8" t="n">
        <x:f>B268*C268</x:f>
        <x:v>1305</x:v>
      </x:c>
      <x:c r="G268" s="12" t="n">
        <x:f>F268/'客户小时分布'!$C$6</x:f>
        <x:v>0.00010647058890718424</x:v>
      </x:c>
      <x:c r="H268" s="12" t="n">
        <x:f>SUM($C$8:C268)/'客户小时分布'!$C$8</x:f>
        <x:v>0.9996851846428676</x:v>
      </x:c>
    </x:row>
    <x:row r="269" ht="22" customHeight="1">
      <x:c r="A269" s="2"/>
      <x:c r="B269" s="8" t="n">
        <x:v>262</x:v>
      </x:c>
      <x:c r="C269" s="8" t="n">
        <x:v>5</x:v>
      </x:c>
      <x:c r="D269" s="12" t="n">
        <x:f>C269/'客户小时分布'!$C$8</x:f>
        <x:v>0.00000732128737517205</x:v>
      </x:c>
      <x:c r="E269" s="12" t="n">
        <x:f>C269/'客户小时分布'!$C$10</x:f>
        <x:v>6.720430107526881e-7</x:v>
      </x:c>
      <x:c r="F269" s="8" t="n">
        <x:f>B269*C269</x:f>
        <x:v>1310</x:v>
      </x:c>
      <x:c r="G269" s="12" t="n">
        <x:f>F269/'客户小时分布'!$C$6</x:f>
        <x:v>0.00010687852219801637</x:v>
      </x:c>
      <x:c r="H269" s="12" t="n">
        <x:f>SUM($C$8:C269)/'客户小时分布'!$C$8</x:f>
        <x:v>0.9996925059302427</x:v>
      </x:c>
    </x:row>
    <x:row r="270" ht="22" customHeight="1">
      <x:c r="A270" s="2"/>
      <x:c r="B270" s="8" t="n">
        <x:v>263</x:v>
      </x:c>
      <x:c r="C270" s="8" t="n">
        <x:v>4</x:v>
      </x:c>
      <x:c r="D270" s="12" t="n">
        <x:f>C270/'客户小时分布'!$C$8</x:f>
        <x:v>0.00000585702990013764</x:v>
      </x:c>
      <x:c r="E270" s="12" t="n">
        <x:f>C270/'客户小时分布'!$C$10</x:f>
        <x:v>5.376344086021506e-7</x:v>
      </x:c>
      <x:c r="F270" s="8" t="n">
        <x:f>B270*C270</x:f>
        <x:v>1052</x:v>
      </x:c>
      <x:c r="G270" s="12" t="n">
        <x:f>F270/'客户小时分布'!$C$6</x:f>
        <x:v>0.00008582916439107879</x:v>
      </x:c>
      <x:c r="H270" s="12" t="n">
        <x:f>SUM($C$8:C270)/'客户小时分布'!$C$8</x:f>
        <x:v>0.9996983629601429</x:v>
      </x:c>
    </x:row>
    <x:row r="271" ht="22" customHeight="1">
      <x:c r="A271" s="2"/>
      <x:c r="B271" s="8" t="n">
        <x:v>264</x:v>
      </x:c>
      <x:c r="C271" s="8" t="n">
        <x:v>2</x:v>
      </x:c>
      <x:c r="D271" s="12" t="n">
        <x:f>C271/'客户小时分布'!$C$8</x:f>
        <x:v>0.00000292851495006882</x:v>
      </x:c>
      <x:c r="E271" s="12" t="n">
        <x:f>C271/'客户小时分布'!$C$10</x:f>
        <x:v>2.688172043010753e-7</x:v>
      </x:c>
      <x:c r="F271" s="8" t="n">
        <x:f>B271*C271</x:f>
        <x:v>528</x:v>
      </x:c>
      <x:c r="G271" s="12" t="n">
        <x:f>F271/'客户小时分布'!$C$6</x:f>
        <x:v>0.00004307775551187225</x:v>
      </x:c>
      <x:c r="H271" s="12" t="n">
        <x:f>SUM($C$8:C271)/'客户小时分布'!$C$8</x:f>
        <x:v>0.999701291475093</x:v>
      </x:c>
    </x:row>
    <x:row r="272" ht="22" customHeight="1">
      <x:c r="A272" s="2"/>
      <x:c r="B272" s="8" t="n">
        <x:v>265</x:v>
      </x:c>
      <x:c r="C272" s="8" t="n">
        <x:v>1</x:v>
      </x:c>
      <x:c r="D272" s="12" t="n">
        <x:f>C272/'客户小时分布'!$C$8</x:f>
        <x:v>0.00000146425747503441</x:v>
      </x:c>
      <x:c r="E272" s="12" t="n">
        <x:f>C272/'客户小时分布'!$C$10</x:f>
        <x:v>1.3440860215053764e-7</x:v>
      </x:c>
      <x:c r="F272" s="8" t="n">
        <x:f>B272*C272</x:f>
        <x:v>265</x:v>
      </x:c>
      <x:c r="G272" s="12" t="n">
        <x:f>F272/'客户小时分布'!$C$6</x:f>
        <x:v>0.00002162046441410255</x:v>
      </x:c>
      <x:c r="H272" s="12" t="n">
        <x:f>SUM($C$8:C272)/'客户小时分布'!$C$8</x:f>
        <x:v>0.9997027557325681</x:v>
      </x:c>
    </x:row>
    <x:row r="273" ht="22" customHeight="1">
      <x:c r="A273" s="2"/>
      <x:c r="B273" s="8" t="n">
        <x:v>266</x:v>
      </x:c>
      <x:c r="C273" s="8" t="n">
        <x:v>2</x:v>
      </x:c>
      <x:c r="D273" s="12" t="n">
        <x:f>C273/'客户小时分布'!$C$8</x:f>
        <x:v>0.00000292851495006882</x:v>
      </x:c>
      <x:c r="E273" s="12" t="n">
        <x:f>C273/'客户小时分布'!$C$10</x:f>
        <x:v>2.688172043010753e-7</x:v>
      </x:c>
      <x:c r="F273" s="8" t="n">
        <x:f>B273*C273</x:f>
        <x:v>532</x:v>
      </x:c>
      <x:c r="G273" s="12" t="n">
        <x:f>F273/'客户小时分布'!$C$6</x:f>
        <x:v>0.000043404102144537945</x:v>
      </x:c>
      <x:c r="H273" s="12" t="n">
        <x:f>SUM($C$8:C273)/'客户小时分布'!$C$8</x:f>
        <x:v>0.999705684247518</x:v>
      </x:c>
    </x:row>
    <x:row r="274" ht="22" customHeight="1">
      <x:c r="A274" s="2"/>
      <x:c r="B274" s="8" t="n">
        <x:v>267</x:v>
      </x:c>
      <x:c r="C274" s="8" t="n">
        <x:v>4</x:v>
      </x:c>
      <x:c r="D274" s="12" t="n">
        <x:f>C274/'客户小时分布'!$C$8</x:f>
        <x:v>0.00000585702990013764</x:v>
      </x:c>
      <x:c r="E274" s="12" t="n">
        <x:f>C274/'客户小时分布'!$C$10</x:f>
        <x:v>5.376344086021506e-7</x:v>
      </x:c>
      <x:c r="F274" s="8" t="n">
        <x:f>B274*C274</x:f>
        <x:v>1068</x:v>
      </x:c>
      <x:c r="G274" s="12" t="n">
        <x:f>F274/'客户小时分布'!$C$6</x:f>
        <x:v>0.00008713455092174159</x:v>
      </x:c>
      <x:c r="H274" s="12" t="n">
        <x:f>SUM($C$8:C274)/'客户小时分布'!$C$8</x:f>
        <x:v>0.9997115412774182</x:v>
      </x:c>
    </x:row>
    <x:row r="275" ht="22" customHeight="1">
      <x:c r="A275" s="2"/>
      <x:c r="B275" s="8" t="n">
        <x:v>268</x:v>
      </x:c>
      <x:c r="C275" s="8" t="n">
        <x:v>2</x:v>
      </x:c>
      <x:c r="D275" s="12" t="n">
        <x:f>C275/'客户小时分布'!$C$8</x:f>
        <x:v>0.00000292851495006882</x:v>
      </x:c>
      <x:c r="E275" s="12" t="n">
        <x:f>C275/'客户小时分布'!$C$10</x:f>
        <x:v>2.688172043010753e-7</x:v>
      </x:c>
      <x:c r="F275" s="8" t="n">
        <x:f>B275*C275</x:f>
        <x:v>536</x:v>
      </x:c>
      <x:c r="G275" s="12" t="n">
        <x:f>F275/'客户小时分布'!$C$6</x:f>
        <x:v>0.00004373044877720364</x:v>
      </x:c>
      <x:c r="H275" s="12" t="n">
        <x:f>SUM($C$8:C275)/'客户小时分布'!$C$8</x:f>
        <x:v>0.9997144697923683</x:v>
      </x:c>
    </x:row>
    <x:row r="276" ht="22" customHeight="1">
      <x:c r="A276" s="2"/>
      <x:c r="B276" s="8" t="n">
        <x:v>269</x:v>
      </x:c>
      <x:c r="C276" s="8" t="n">
        <x:v>3</x:v>
      </x:c>
      <x:c r="D276" s="12" t="n">
        <x:f>C276/'客户小时分布'!$C$8</x:f>
        <x:v>0.00000439277242510323</x:v>
      </x:c>
      <x:c r="E276" s="12" t="n">
        <x:f>C276/'客户小时分布'!$C$10</x:f>
        <x:v>4.032258064516129e-7</x:v>
      </x:c>
      <x:c r="F276" s="8" t="n">
        <x:f>B276*C276</x:f>
        <x:v>807</x:v>
      </x:c>
      <x:c r="G276" s="12" t="n">
        <x:f>F276/'客户小时分布'!$C$6</x:f>
        <x:v>0.00006584043314030474</x:v>
      </x:c>
      <x:c r="H276" s="12" t="n">
        <x:f>SUM($C$8:C276)/'客户小时分布'!$C$8</x:f>
        <x:v>0.9997188625647934</x:v>
      </x:c>
    </x:row>
    <x:row r="277" ht="22" customHeight="1">
      <x:c r="A277" s="2"/>
      <x:c r="B277" s="8" t="n">
        <x:v>270</x:v>
      </x:c>
      <x:c r="C277" s="8" t="n">
        <x:v>0</x:v>
      </x:c>
      <x:c r="D277" s="12" t="n">
        <x:f>C277/'客户小时分布'!$C$8</x:f>
        <x:v>0</x:v>
      </x:c>
      <x:c r="E277" s="12" t="n">
        <x:f>C277/'客户小时分布'!$C$10</x:f>
        <x:v>0</x:v>
      </x:c>
      <x:c r="F277" s="8" t="n">
        <x:f>B277*C277</x:f>
        <x:v>0</x:v>
      </x:c>
      <x:c r="G277" s="12" t="n">
        <x:f>F277/'客户小时分布'!$C$6</x:f>
        <x:v>0</x:v>
      </x:c>
      <x:c r="H277" s="12" t="n">
        <x:f>SUM($C$8:C277)/'客户小时分布'!$C$8</x:f>
        <x:v>0.9997188625647934</x:v>
      </x:c>
    </x:row>
    <x:row r="278" ht="22" customHeight="1">
      <x:c r="A278" s="2"/>
      <x:c r="B278" s="8" t="n">
        <x:v>271</x:v>
      </x:c>
      <x:c r="C278" s="8" t="n">
        <x:v>4</x:v>
      </x:c>
      <x:c r="D278" s="12" t="n">
        <x:f>C278/'客户小时分布'!$C$8</x:f>
        <x:v>0.00000585702990013764</x:v>
      </x:c>
      <x:c r="E278" s="12" t="n">
        <x:f>C278/'客户小时分布'!$C$10</x:f>
        <x:v>5.376344086021506e-7</x:v>
      </x:c>
      <x:c r="F278" s="8" t="n">
        <x:f>B278*C278</x:f>
        <x:v>1084</x:v>
      </x:c>
      <x:c r="G278" s="12" t="n">
        <x:f>F278/'客户小时分布'!$C$6</x:f>
        <x:v>0.00008843993745240438</x:v>
      </x:c>
      <x:c r="H278" s="12" t="n">
        <x:f>SUM($C$8:C278)/'客户小时分布'!$C$8</x:f>
        <x:v>0.9997247195946936</x:v>
      </x:c>
    </x:row>
    <x:row r="279" ht="22" customHeight="1">
      <x:c r="A279" s="2"/>
      <x:c r="B279" s="8" t="n">
        <x:v>272</x:v>
      </x:c>
      <x:c r="C279" s="8" t="n">
        <x:v>6</x:v>
      </x:c>
      <x:c r="D279" s="12" t="n">
        <x:f>C279/'客户小时分布'!$C$8</x:f>
        <x:v>0.00000878554485020646</x:v>
      </x:c>
      <x:c r="E279" s="12" t="n">
        <x:f>C279/'客户小时分布'!$C$10</x:f>
        <x:v>8.064516129032258e-7</x:v>
      </x:c>
      <x:c r="F279" s="8" t="n">
        <x:f>B279*C279</x:f>
        <x:v>1632</x:v>
      </x:c>
      <x:c r="G279" s="12" t="n">
        <x:f>F279/'客户小时分布'!$C$6</x:f>
        <x:v>0.00013314942612760512</x:v>
      </x:c>
      <x:c r="H279" s="12" t="n">
        <x:f>SUM($C$8:C279)/'客户小时分布'!$C$8</x:f>
        <x:v>0.9997335051395437</x:v>
      </x:c>
    </x:row>
    <x:row r="280" ht="22" customHeight="1">
      <x:c r="A280" s="2"/>
      <x:c r="B280" s="8" t="n">
        <x:v>273</x:v>
      </x:c>
      <x:c r="C280" s="8" t="n">
        <x:v>2</x:v>
      </x:c>
      <x:c r="D280" s="12" t="n">
        <x:f>C280/'客户小时分布'!$C$8</x:f>
        <x:v>0.00000292851495006882</x:v>
      </x:c>
      <x:c r="E280" s="12" t="n">
        <x:f>C280/'客户小时分布'!$C$10</x:f>
        <x:v>2.688172043010753e-7</x:v>
      </x:c>
      <x:c r="F280" s="8" t="n">
        <x:f>B280*C280</x:f>
        <x:v>546</x:v>
      </x:c>
      <x:c r="G280" s="12" t="n">
        <x:f>F280/'客户小时分布'!$C$6</x:f>
        <x:v>0.00004454631535886789</x:v>
      </x:c>
      <x:c r="H280" s="12" t="n">
        <x:f>SUM($C$8:C280)/'客户小时分布'!$C$8</x:f>
        <x:v>0.9997364336544938</x:v>
      </x:c>
    </x:row>
    <x:row r="281" ht="22" customHeight="1">
      <x:c r="A281" s="2"/>
      <x:c r="B281" s="8" t="n">
        <x:v>274</x:v>
      </x:c>
      <x:c r="C281" s="8" t="n">
        <x:v>3</x:v>
      </x:c>
      <x:c r="D281" s="12" t="n">
        <x:f>C281/'客户小时分布'!$C$8</x:f>
        <x:v>0.00000439277242510323</x:v>
      </x:c>
      <x:c r="E281" s="12" t="n">
        <x:f>C281/'客户小时分布'!$C$10</x:f>
        <x:v>4.032258064516129e-7</x:v>
      </x:c>
      <x:c r="F281" s="8" t="n">
        <x:f>B281*C281</x:f>
        <x:v>822</x:v>
      </x:c>
      <x:c r="G281" s="12" t="n">
        <x:f>F281/'客户小时分布'!$C$6</x:f>
        <x:v>0.0000670642330128011</x:v>
      </x:c>
      <x:c r="H281" s="12" t="n">
        <x:f>SUM($C$8:C281)/'客户小时分布'!$C$8</x:f>
        <x:v>0.9997408264269189</x:v>
      </x:c>
    </x:row>
    <x:row r="282" ht="22" customHeight="1">
      <x:c r="A282" s="2"/>
      <x:c r="B282" s="8" t="n">
        <x:v>275</x:v>
      </x:c>
      <x:c r="C282" s="8" t="n">
        <x:v>3</x:v>
      </x:c>
      <x:c r="D282" s="12" t="n">
        <x:f>C282/'客户小时分布'!$C$8</x:f>
        <x:v>0.00000439277242510323</x:v>
      </x:c>
      <x:c r="E282" s="12" t="n">
        <x:f>C282/'客户小时分布'!$C$10</x:f>
        <x:v>4.032258064516129e-7</x:v>
      </x:c>
      <x:c r="F282" s="8" t="n">
        <x:f>B282*C282</x:f>
        <x:v>825</x:v>
      </x:c>
      <x:c r="G282" s="12" t="n">
        <x:f>F282/'客户小时分布'!$C$6</x:f>
        <x:v>0.00006730899298730039</x:v>
      </x:c>
      <x:c r="H282" s="12" t="n">
        <x:f>SUM($C$8:C282)/'客户小时分布'!$C$8</x:f>
        <x:v>0.999745219199344</x:v>
      </x:c>
    </x:row>
    <x:row r="283" ht="22" customHeight="1">
      <x:c r="A283" s="2"/>
      <x:c r="B283" s="8" t="n">
        <x:v>276</x:v>
      </x:c>
      <x:c r="C283" s="8" t="n">
        <x:v>3</x:v>
      </x:c>
      <x:c r="D283" s="12" t="n">
        <x:f>C283/'客户小时分布'!$C$8</x:f>
        <x:v>0.00000439277242510323</x:v>
      </x:c>
      <x:c r="E283" s="12" t="n">
        <x:f>C283/'客户小时分布'!$C$10</x:f>
        <x:v>4.032258064516129e-7</x:v>
      </x:c>
      <x:c r="F283" s="8" t="n">
        <x:f>B283*C283</x:f>
        <x:v>828</x:v>
      </x:c>
      <x:c r="G283" s="12" t="n">
        <x:f>F283/'客户小时分布'!$C$6</x:f>
        <x:v>0.00006755375296179966</x:v>
      </x:c>
      <x:c r="H283" s="12" t="n">
        <x:f>SUM($C$8:C283)/'客户小时分布'!$C$8</x:f>
        <x:v>0.9997496119717691</x:v>
      </x:c>
    </x:row>
    <x:row r="284" ht="22" customHeight="1">
      <x:c r="A284" s="2"/>
      <x:c r="B284" s="8" t="n">
        <x:v>277</x:v>
      </x:c>
      <x:c r="C284" s="8" t="n">
        <x:v>6</x:v>
      </x:c>
      <x:c r="D284" s="12" t="n">
        <x:f>C284/'客户小时分布'!$C$8</x:f>
        <x:v>0.00000878554485020646</x:v>
      </x:c>
      <x:c r="E284" s="12" t="n">
        <x:f>C284/'客户小时分布'!$C$10</x:f>
        <x:v>8.064516129032258e-7</x:v>
      </x:c>
      <x:c r="F284" s="8" t="n">
        <x:f>B284*C284</x:f>
        <x:v>1662</x:v>
      </x:c>
      <x:c r="G284" s="12" t="n">
        <x:f>F284/'客户小时分布'!$C$6</x:f>
        <x:v>0.00013559702587259787</x:v>
      </x:c>
      <x:c r="H284" s="12" t="n">
        <x:f>SUM($C$8:C284)/'客户小时分布'!$C$8</x:f>
        <x:v>0.9997583975166193</x:v>
      </x:c>
    </x:row>
    <x:row r="285" ht="22" customHeight="1">
      <x:c r="A285" s="2"/>
      <x:c r="B285" s="8" t="n">
        <x:v>278</x:v>
      </x:c>
      <x:c r="C285" s="8" t="n">
        <x:v>0</x:v>
      </x:c>
      <x:c r="D285" s="12" t="n">
        <x:f>C285/'客户小时分布'!$C$8</x:f>
        <x:v>0</x:v>
      </x:c>
      <x:c r="E285" s="12" t="n">
        <x:f>C285/'客户小时分布'!$C$10</x:f>
        <x:v>0</x:v>
      </x:c>
      <x:c r="F285" s="8" t="n">
        <x:f>B285*C285</x:f>
        <x:v>0</x:v>
      </x:c>
      <x:c r="G285" s="12" t="n">
        <x:f>F285/'客户小时分布'!$C$6</x:f>
        <x:v>0</x:v>
      </x:c>
      <x:c r="H285" s="12" t="n">
        <x:f>SUM($C$8:C285)/'客户小时分布'!$C$8</x:f>
        <x:v>0.9997583975166193</x:v>
      </x:c>
    </x:row>
    <x:row r="286" ht="22" customHeight="1">
      <x:c r="A286" s="2"/>
      <x:c r="B286" s="8" t="n">
        <x:v>279</x:v>
      </x:c>
      <x:c r="C286" s="8" t="n">
        <x:v>3</x:v>
      </x:c>
      <x:c r="D286" s="12" t="n">
        <x:f>C286/'客户小时分布'!$C$8</x:f>
        <x:v>0.00000439277242510323</x:v>
      </x:c>
      <x:c r="E286" s="12" t="n">
        <x:f>C286/'客户小时分布'!$C$10</x:f>
        <x:v>4.032258064516129e-7</x:v>
      </x:c>
      <x:c r="F286" s="8" t="n">
        <x:f>B286*C286</x:f>
        <x:v>837</x:v>
      </x:c>
      <x:c r="G286" s="12" t="n">
        <x:f>F286/'客户小时分布'!$C$6</x:f>
        <x:v>0.00006828803288529748</x:v>
      </x:c>
      <x:c r="H286" s="12" t="n">
        <x:f>SUM($C$8:C286)/'客户小时分布'!$C$8</x:f>
        <x:v>0.9997627902890445</x:v>
      </x:c>
    </x:row>
    <x:row r="287" ht="22" customHeight="1">
      <x:c r="A287" s="2"/>
      <x:c r="B287" s="8" t="n">
        <x:v>280</x:v>
      </x:c>
      <x:c r="C287" s="8" t="n">
        <x:v>4</x:v>
      </x:c>
      <x:c r="D287" s="12" t="n">
        <x:f>C287/'客户小时分布'!$C$8</x:f>
        <x:v>0.00000585702990013764</x:v>
      </x:c>
      <x:c r="E287" s="12" t="n">
        <x:f>C287/'客户小时分布'!$C$10</x:f>
        <x:v>5.376344086021506e-7</x:v>
      </x:c>
      <x:c r="F287" s="8" t="n">
        <x:f>B287*C287</x:f>
        <x:v>1120</x:v>
      </x:c>
      <x:c r="G287" s="12" t="n">
        <x:f>F287/'客户小时分布'!$C$6</x:f>
        <x:v>0.00009137705714639568</x:v>
      </x:c>
      <x:c r="H287" s="12" t="n">
        <x:f>SUM($C$8:C287)/'客户小时分布'!$C$8</x:f>
        <x:v>0.9997686473189445</x:v>
      </x:c>
    </x:row>
    <x:row r="288" ht="22" customHeight="1">
      <x:c r="A288" s="2"/>
      <x:c r="B288" s="8" t="n">
        <x:v>281</x:v>
      </x:c>
      <x:c r="C288" s="8" t="n">
        <x:v>4</x:v>
      </x:c>
      <x:c r="D288" s="12" t="n">
        <x:f>C288/'客户小时分布'!$C$8</x:f>
        <x:v>0.00000585702990013764</x:v>
      </x:c>
      <x:c r="E288" s="12" t="n">
        <x:f>C288/'客户小时分布'!$C$10</x:f>
        <x:v>5.376344086021506e-7</x:v>
      </x:c>
      <x:c r="F288" s="8" t="n">
        <x:f>B288*C288</x:f>
        <x:v>1124</x:v>
      </x:c>
      <x:c r="G288" s="12" t="n">
        <x:f>F288/'客户小时分布'!$C$6</x:f>
        <x:v>0.00009170340377906137</x:v>
      </x:c>
      <x:c r="H288" s="12" t="n">
        <x:f>SUM($C$8:C288)/'客户小时分布'!$C$8</x:f>
        <x:v>0.9997745043488447</x:v>
      </x:c>
    </x:row>
    <x:row r="289" ht="22" customHeight="1">
      <x:c r="A289" s="2"/>
      <x:c r="B289" s="8" t="n">
        <x:v>282</x:v>
      </x:c>
      <x:c r="C289" s="8" t="n">
        <x:v>1</x:v>
      </x:c>
      <x:c r="D289" s="12" t="n">
        <x:f>C289/'客户小时分布'!$C$8</x:f>
        <x:v>0.00000146425747503441</x:v>
      </x:c>
      <x:c r="E289" s="12" t="n">
        <x:f>C289/'客户小时分布'!$C$10</x:f>
        <x:v>1.3440860215053764e-7</x:v>
      </x:c>
      <x:c r="F289" s="8" t="n">
        <x:f>B289*C289</x:f>
        <x:v>282</x:v>
      </x:c>
      <x:c r="G289" s="12" t="n">
        <x:f>F289/'客户小时分布'!$C$6</x:f>
        <x:v>0.000023007437602931768</x:v>
      </x:c>
      <x:c r="H289" s="12" t="n">
        <x:f>SUM($C$8:C289)/'客户小时分布'!$C$8</x:f>
        <x:v>0.9997759686063198</x:v>
      </x:c>
    </x:row>
    <x:row r="290" ht="22" customHeight="1">
      <x:c r="A290" s="2"/>
      <x:c r="B290" s="8" t="n">
        <x:v>283</x:v>
      </x:c>
      <x:c r="C290" s="8" t="n">
        <x:v>6</x:v>
      </x:c>
      <x:c r="D290" s="12" t="n">
        <x:f>C290/'客户小时分布'!$C$8</x:f>
        <x:v>0.00000878554485020646</x:v>
      </x:c>
      <x:c r="E290" s="12" t="n">
        <x:f>C290/'客户小时分布'!$C$10</x:f>
        <x:v>8.064516129032258e-7</x:v>
      </x:c>
      <x:c r="F290" s="8" t="n">
        <x:f>B290*C290</x:f>
        <x:v>1698</x:v>
      </x:c>
      <x:c r="G290" s="12" t="n">
        <x:f>F290/'客户小时分布'!$C$6</x:f>
        <x:v>0.00013853414556658916</x:v>
      </x:c>
      <x:c r="H290" s="12" t="n">
        <x:f>SUM($C$8:C290)/'客户小时分布'!$C$8</x:f>
        <x:v>0.99978475415117</x:v>
      </x:c>
    </x:row>
    <x:row r="291" ht="22" customHeight="1">
      <x:c r="A291" s="2"/>
      <x:c r="B291" s="8" t="n">
        <x:v>284</x:v>
      </x:c>
      <x:c r="C291" s="8" t="n">
        <x:v>2</x:v>
      </x:c>
      <x:c r="D291" s="12" t="n">
        <x:f>C291/'客户小时分布'!$C$8</x:f>
        <x:v>0.00000292851495006882</x:v>
      </x:c>
      <x:c r="E291" s="12" t="n">
        <x:f>C291/'客户小时分布'!$C$10</x:f>
        <x:v>2.688172043010753e-7</x:v>
      </x:c>
      <x:c r="F291" s="8" t="n">
        <x:f>B291*C291</x:f>
        <x:v>568</x:v>
      </x:c>
      <x:c r="G291" s="12" t="n">
        <x:f>F291/'客户小时分布'!$C$6</x:f>
        <x:v>0.00004634122183852923</x:v>
      </x:c>
      <x:c r="H291" s="12" t="n">
        <x:f>SUM($C$8:C291)/'客户小时分布'!$C$8</x:f>
        <x:v>0.9997876826661201</x:v>
      </x:c>
    </x:row>
    <x:row r="292" ht="22" customHeight="1">
      <x:c r="A292" s="2"/>
      <x:c r="B292" s="8" t="n">
        <x:v>285</x:v>
      </x:c>
      <x:c r="C292" s="8" t="n">
        <x:v>1</x:v>
      </x:c>
      <x:c r="D292" s="12" t="n">
        <x:f>C292/'客户小时分布'!$C$8</x:f>
        <x:v>0.00000146425747503441</x:v>
      </x:c>
      <x:c r="E292" s="12" t="n">
        <x:f>C292/'客户小时分布'!$C$10</x:f>
        <x:v>1.3440860215053764e-7</x:v>
      </x:c>
      <x:c r="F292" s="8" t="n">
        <x:f>B292*C292</x:f>
        <x:v>285</x:v>
      </x:c>
      <x:c r="G292" s="12" t="n">
        <x:f>F292/'客户小时分布'!$C$6</x:f>
        <x:v>0.000023252197577431043</x:v>
      </x:c>
      <x:c r="H292" s="12" t="n">
        <x:f>SUM($C$8:C292)/'客户小时分布'!$C$8</x:f>
        <x:v>0.999789146923595</x:v>
      </x:c>
    </x:row>
    <x:row r="293" ht="22" customHeight="1">
      <x:c r="A293" s="2"/>
      <x:c r="B293" s="8" t="n">
        <x:v>286</x:v>
      </x:c>
      <x:c r="C293" s="8" t="n">
        <x:v>6</x:v>
      </x:c>
      <x:c r="D293" s="12" t="n">
        <x:f>C293/'客户小时分布'!$C$8</x:f>
        <x:v>0.00000878554485020646</x:v>
      </x:c>
      <x:c r="E293" s="12" t="n">
        <x:f>C293/'客户小时分布'!$C$10</x:f>
        <x:v>8.064516129032258e-7</x:v>
      </x:c>
      <x:c r="F293" s="8" t="n">
        <x:f>B293*C293</x:f>
        <x:v>1716</x:v>
      </x:c>
      <x:c r="G293" s="12" t="n">
        <x:f>F293/'客户小时分布'!$C$6</x:f>
        <x:v>0.0001400027054135848</x:v>
      </x:c>
      <x:c r="H293" s="12" t="n">
        <x:f>SUM($C$8:C293)/'客户小时分布'!$C$8</x:f>
        <x:v>0.9997979324684453</x:v>
      </x:c>
    </x:row>
    <x:row r="294" ht="22" customHeight="1">
      <x:c r="A294" s="2"/>
      <x:c r="B294" s="8" t="n">
        <x:v>287</x:v>
      </x:c>
      <x:c r="C294" s="8" t="n">
        <x:v>0</x:v>
      </x:c>
      <x:c r="D294" s="12" t="n">
        <x:f>C294/'客户小时分布'!$C$8</x:f>
        <x:v>0</x:v>
      </x:c>
      <x:c r="E294" s="12" t="n">
        <x:f>C294/'客户小时分布'!$C$10</x:f>
        <x:v>0</x:v>
      </x:c>
      <x:c r="F294" s="8" t="n">
        <x:f>B294*C294</x:f>
        <x:v>0</x:v>
      </x:c>
      <x:c r="G294" s="12" t="n">
        <x:f>F294/'客户小时分布'!$C$6</x:f>
        <x:v>0</x:v>
      </x:c>
      <x:c r="H294" s="12" t="n">
        <x:f>SUM($C$8:C294)/'客户小时分布'!$C$8</x:f>
        <x:v>0.9997979324684453</x:v>
      </x:c>
    </x:row>
    <x:row r="295" ht="22" customHeight="1">
      <x:c r="A295" s="2"/>
      <x:c r="B295" s="8" t="n">
        <x:v>288</x:v>
      </x:c>
      <x:c r="C295" s="8" t="n">
        <x:v>4</x:v>
      </x:c>
      <x:c r="D295" s="12" t="n">
        <x:f>C295/'客户小时分布'!$C$8</x:f>
        <x:v>0.00000585702990013764</x:v>
      </x:c>
      <x:c r="E295" s="12" t="n">
        <x:f>C295/'客户小时分布'!$C$10</x:f>
        <x:v>5.376344086021506e-7</x:v>
      </x:c>
      <x:c r="F295" s="8" t="n">
        <x:f>B295*C295</x:f>
        <x:v>1152</x:v>
      </x:c>
      <x:c r="G295" s="12" t="n">
        <x:f>F295/'客户小时分布'!$C$6</x:f>
        <x:v>0.00009398783020772126</x:v>
      </x:c>
      <x:c r="H295" s="12" t="n">
        <x:f>SUM($C$8:C295)/'客户小时分布'!$C$8</x:f>
        <x:v>0.9998037894983454</x:v>
      </x:c>
    </x:row>
    <x:row r="296" ht="22" customHeight="1">
      <x:c r="A296" s="2"/>
      <x:c r="B296" s="8" t="n">
        <x:v>289</x:v>
      </x:c>
      <x:c r="C296" s="8" t="n">
        <x:v>1</x:v>
      </x:c>
      <x:c r="D296" s="12" t="n">
        <x:f>C296/'客户小时分布'!$C$8</x:f>
        <x:v>0.00000146425747503441</x:v>
      </x:c>
      <x:c r="E296" s="12" t="n">
        <x:f>C296/'客户小时分布'!$C$10</x:f>
        <x:v>1.3440860215053764e-7</x:v>
      </x:c>
      <x:c r="F296" s="8" t="n">
        <x:f>B296*C296</x:f>
        <x:v>289</x:v>
      </x:c>
      <x:c r="G296" s="12" t="n">
        <x:f>F296/'客户小时分布'!$C$6</x:f>
        <x:v>0.00002357854421009674</x:v>
      </x:c>
      <x:c r="H296" s="12" t="n">
        <x:f>SUM($C$8:C296)/'客户小时分布'!$C$8</x:f>
        <x:v>0.9998052537558204</x:v>
      </x:c>
    </x:row>
    <x:row r="297" ht="22" customHeight="1">
      <x:c r="A297" s="2"/>
      <x:c r="B297" s="8" t="n">
        <x:v>290</x:v>
      </x:c>
      <x:c r="C297" s="8" t="n">
        <x:v>4</x:v>
      </x:c>
      <x:c r="D297" s="12" t="n">
        <x:f>C297/'客户小时分布'!$C$8</x:f>
        <x:v>0.00000585702990013764</x:v>
      </x:c>
      <x:c r="E297" s="12" t="n">
        <x:f>C297/'客户小时分布'!$C$10</x:f>
        <x:v>5.376344086021506e-7</x:v>
      </x:c>
      <x:c r="F297" s="8" t="n">
        <x:f>B297*C297</x:f>
        <x:v>1160</x:v>
      </x:c>
      <x:c r="G297" s="12" t="n">
        <x:f>F297/'客户小时分布'!$C$6</x:f>
        <x:v>0.00009464052347305267</x:v>
      </x:c>
      <x:c r="H297" s="12" t="n">
        <x:f>SUM($C$8:C297)/'客户小时分布'!$C$8</x:f>
        <x:v>0.9998111107857206</x:v>
      </x:c>
    </x:row>
    <x:row r="298" ht="22" customHeight="1">
      <x:c r="A298" s="2"/>
      <x:c r="B298" s="8" t="n">
        <x:v>291</x:v>
      </x:c>
      <x:c r="C298" s="8" t="n">
        <x:v>1</x:v>
      </x:c>
      <x:c r="D298" s="12" t="n">
        <x:f>C298/'客户小时分布'!$C$8</x:f>
        <x:v>0.00000146425747503441</x:v>
      </x:c>
      <x:c r="E298" s="12" t="n">
        <x:f>C298/'客户小时分布'!$C$10</x:f>
        <x:v>1.3440860215053764e-7</x:v>
      </x:c>
      <x:c r="F298" s="8" t="n">
        <x:f>B298*C298</x:f>
        <x:v>291</x:v>
      </x:c>
      <x:c r="G298" s="12" t="n">
        <x:f>F298/'客户小时分布'!$C$6</x:f>
        <x:v>0.00002374171752642959</x:v>
      </x:c>
      <x:c r="H298" s="12" t="n">
        <x:f>SUM($C$8:C298)/'客户小时分布'!$C$8</x:f>
        <x:v>0.9998125750431957</x:v>
      </x:c>
    </x:row>
    <x:row r="299" ht="22" customHeight="1">
      <x:c r="A299" s="2"/>
      <x:c r="B299" s="8" t="n">
        <x:v>292</x:v>
      </x:c>
      <x:c r="C299" s="8" t="n">
        <x:v>3</x:v>
      </x:c>
      <x:c r="D299" s="12" t="n">
        <x:f>C299/'客户小时分布'!$C$8</x:f>
        <x:v>0.00000439277242510323</x:v>
      </x:c>
      <x:c r="E299" s="12" t="n">
        <x:f>C299/'客户小时分布'!$C$10</x:f>
        <x:v>4.032258064516129e-7</x:v>
      </x:c>
      <x:c r="F299" s="8" t="n">
        <x:f>B299*C299</x:f>
        <x:v>876</x:v>
      </x:c>
      <x:c r="G299" s="12" t="n">
        <x:f>F299/'客户小时分布'!$C$6</x:f>
        <x:v>0.00007146991255378804</x:v>
      </x:c>
      <x:c r="H299" s="12" t="n">
        <x:f>SUM($C$8:C299)/'客户小时分布'!$C$8</x:f>
        <x:v>0.9998169678156207</x:v>
      </x:c>
    </x:row>
    <x:row r="300" ht="22" customHeight="1">
      <x:c r="A300" s="2"/>
      <x:c r="B300" s="8" t="n">
        <x:v>293</x:v>
      </x:c>
      <x:c r="C300" s="8" t="n">
        <x:v>0</x:v>
      </x:c>
      <x:c r="D300" s="12" t="n">
        <x:f>C300/'客户小时分布'!$C$8</x:f>
        <x:v>0</x:v>
      </x:c>
      <x:c r="E300" s="12" t="n">
        <x:f>C300/'客户小时分布'!$C$10</x:f>
        <x:v>0</x:v>
      </x:c>
      <x:c r="F300" s="8" t="n">
        <x:f>B300*C300</x:f>
        <x:v>0</x:v>
      </x:c>
      <x:c r="G300" s="12" t="n">
        <x:f>F300/'客户小时分布'!$C$6</x:f>
        <x:v>0</x:v>
      </x:c>
      <x:c r="H300" s="12" t="n">
        <x:f>SUM($C$8:C300)/'客户小时分布'!$C$8</x:f>
        <x:v>0.9998169678156207</x:v>
      </x:c>
    </x:row>
    <x:row r="301" ht="22" customHeight="1">
      <x:c r="A301" s="2"/>
      <x:c r="B301" s="8" t="n">
        <x:v>294</x:v>
      </x:c>
      <x:c r="C301" s="8" t="n">
        <x:v>0</x:v>
      </x:c>
      <x:c r="D301" s="12" t="n">
        <x:f>C301/'客户小时分布'!$C$8</x:f>
        <x:v>0</x:v>
      </x:c>
      <x:c r="E301" s="12" t="n">
        <x:f>C301/'客户小时分布'!$C$10</x:f>
        <x:v>0</x:v>
      </x:c>
      <x:c r="F301" s="8" t="n">
        <x:f>B301*C301</x:f>
        <x:v>0</x:v>
      </x:c>
      <x:c r="G301" s="12" t="n">
        <x:f>F301/'客户小时分布'!$C$6</x:f>
        <x:v>0</x:v>
      </x:c>
      <x:c r="H301" s="12" t="n">
        <x:f>SUM($C$8:C301)/'客户小时分布'!$C$8</x:f>
        <x:v>0.9998169678156207</x:v>
      </x:c>
    </x:row>
    <x:row r="302" ht="22" customHeight="1">
      <x:c r="A302" s="2"/>
      <x:c r="B302" s="8" t="n">
        <x:v>295</x:v>
      </x:c>
      <x:c r="C302" s="8" t="n">
        <x:v>0</x:v>
      </x:c>
      <x:c r="D302" s="12" t="n">
        <x:f>C302/'客户小时分布'!$C$8</x:f>
        <x:v>0</x:v>
      </x:c>
      <x:c r="E302" s="12" t="n">
        <x:f>C302/'客户小时分布'!$C$10</x:f>
        <x:v>0</x:v>
      </x:c>
      <x:c r="F302" s="8" t="n">
        <x:f>B302*C302</x:f>
        <x:v>0</x:v>
      </x:c>
      <x:c r="G302" s="12" t="n">
        <x:f>F302/'客户小时分布'!$C$6</x:f>
        <x:v>0</x:v>
      </x:c>
      <x:c r="H302" s="12" t="n">
        <x:f>SUM($C$8:C302)/'客户小时分布'!$C$8</x:f>
        <x:v>0.9998169678156207</x:v>
      </x:c>
    </x:row>
    <x:row r="303" ht="22" customHeight="1">
      <x:c r="A303" s="2"/>
      <x:c r="B303" s="8" t="n">
        <x:v>296</x:v>
      </x:c>
      <x:c r="C303" s="8" t="n">
        <x:v>2</x:v>
      </x:c>
      <x:c r="D303" s="12" t="n">
        <x:f>C303/'客户小时分布'!$C$8</x:f>
        <x:v>0.00000292851495006882</x:v>
      </x:c>
      <x:c r="E303" s="12" t="n">
        <x:f>C303/'客户小时分布'!$C$10</x:f>
        <x:v>2.688172043010753e-7</x:v>
      </x:c>
      <x:c r="F303" s="8" t="n">
        <x:f>B303*C303</x:f>
        <x:v>592</x:v>
      </x:c>
      <x:c r="G303" s="12" t="n">
        <x:f>F303/'客户小时分布'!$C$6</x:f>
        <x:v>0.00004829930163452343</x:v>
      </x:c>
      <x:c r="H303" s="12" t="n">
        <x:f>SUM($C$8:C303)/'客户小时分布'!$C$8</x:f>
        <x:v>0.9998198963305708</x:v>
      </x:c>
    </x:row>
    <x:row r="304" ht="22" customHeight="1">
      <x:c r="A304" s="2"/>
      <x:c r="B304" s="8" t="n">
        <x:v>297</x:v>
      </x:c>
      <x:c r="C304" s="8" t="n">
        <x:v>1</x:v>
      </x:c>
      <x:c r="D304" s="12" t="n">
        <x:f>C304/'客户小时分布'!$C$8</x:f>
        <x:v>0.00000146425747503441</x:v>
      </x:c>
      <x:c r="E304" s="12" t="n">
        <x:f>C304/'客户小时分布'!$C$10</x:f>
        <x:v>1.3440860215053764e-7</x:v>
      </x:c>
      <x:c r="F304" s="8" t="n">
        <x:f>B304*C304</x:f>
        <x:v>297</x:v>
      </x:c>
      <x:c r="G304" s="12" t="n">
        <x:f>F304/'客户小时分布'!$C$6</x:f>
        <x:v>0.00002423123747542814</x:v>
      </x:c>
      <x:c r="H304" s="12" t="n">
        <x:f>SUM($C$8:C304)/'客户小时分布'!$C$8</x:f>
        <x:v>0.9998213605880458</x:v>
      </x:c>
    </x:row>
    <x:row r="305" ht="22" customHeight="1">
      <x:c r="A305" s="2"/>
      <x:c r="B305" s="8" t="n">
        <x:v>298</x:v>
      </x:c>
      <x:c r="C305" s="8" t="n">
        <x:v>0</x:v>
      </x:c>
      <x:c r="D305" s="12" t="n">
        <x:f>C305/'客户小时分布'!$C$8</x:f>
        <x:v>0</x:v>
      </x:c>
      <x:c r="E305" s="12" t="n">
        <x:f>C305/'客户小时分布'!$C$10</x:f>
        <x:v>0</x:v>
      </x:c>
      <x:c r="F305" s="8" t="n">
        <x:f>B305*C305</x:f>
        <x:v>0</x:v>
      </x:c>
      <x:c r="G305" s="12" t="n">
        <x:f>F305/'客户小时分布'!$C$6</x:f>
        <x:v>0</x:v>
      </x:c>
      <x:c r="H305" s="12" t="n">
        <x:f>SUM($C$8:C305)/'客户小时分布'!$C$8</x:f>
        <x:v>0.9998213605880458</x:v>
      </x:c>
    </x:row>
    <x:row r="306" ht="22" customHeight="1">
      <x:c r="A306" s="2"/>
      <x:c r="B306" s="8" t="n">
        <x:v>299</x:v>
      </x:c>
      <x:c r="C306" s="8" t="n">
        <x:v>1</x:v>
      </x:c>
      <x:c r="D306" s="12" t="n">
        <x:f>C306/'客户小时分布'!$C$8</x:f>
        <x:v>0.00000146425747503441</x:v>
      </x:c>
      <x:c r="E306" s="12" t="n">
        <x:f>C306/'客户小时分布'!$C$10</x:f>
        <x:v>1.3440860215053764e-7</x:v>
      </x:c>
      <x:c r="F306" s="8" t="n">
        <x:f>B306*C306</x:f>
        <x:v>299</x:v>
      </x:c>
      <x:c r="G306" s="12" t="n">
        <x:f>F306/'客户小时分布'!$C$6</x:f>
        <x:v>0.000024394410791760987</x:v>
      </x:c>
      <x:c r="H306" s="12" t="n">
        <x:f>SUM($C$8:C306)/'客户小时分布'!$C$8</x:f>
        <x:v>0.9998228248455209</x:v>
      </x:c>
    </x:row>
    <x:row r="307" ht="22" customHeight="1">
      <x:c r="A307" s="2"/>
      <x:c r="B307" s="8" t="n">
        <x:v>300</x:v>
      </x:c>
      <x:c r="C307" s="8" t="n">
        <x:v>3</x:v>
      </x:c>
      <x:c r="D307" s="12" t="n">
        <x:f>C307/'客户小时分布'!$C$8</x:f>
        <x:v>0.00000439277242510323</x:v>
      </x:c>
      <x:c r="E307" s="12" t="n">
        <x:f>C307/'客户小时分布'!$C$10</x:f>
        <x:v>4.032258064516129e-7</x:v>
      </x:c>
      <x:c r="F307" s="8" t="n">
        <x:f>B307*C307</x:f>
        <x:v>900</x:v>
      </x:c>
      <x:c r="G307" s="12" t="n">
        <x:f>F307/'客户小时分布'!$C$6</x:f>
        <x:v>0.00007342799234978224</x:v>
      </x:c>
      <x:c r="H307" s="12" t="n">
        <x:f>SUM($C$8:C307)/'客户小时分布'!$C$8</x:f>
        <x:v>0.9998272176179459</x:v>
      </x:c>
    </x:row>
    <x:row r="308" ht="22" customHeight="1">
      <x:c r="A308" s="2"/>
      <x:c r="B308" s="8" t="n">
        <x:v>301</x:v>
      </x:c>
      <x:c r="C308" s="8" t="n">
        <x:v>2</x:v>
      </x:c>
      <x:c r="D308" s="12" t="n">
        <x:f>C308/'客户小时分布'!$C$8</x:f>
        <x:v>0.00000292851495006882</x:v>
      </x:c>
      <x:c r="E308" s="12" t="n">
        <x:f>C308/'客户小时分布'!$C$10</x:f>
        <x:v>2.688172043010753e-7</x:v>
      </x:c>
      <x:c r="F308" s="8" t="n">
        <x:f>B308*C308</x:f>
        <x:v>602</x:v>
      </x:c>
      <x:c r="G308" s="12" t="n">
        <x:f>F308/'客户小时分布'!$C$6</x:f>
        <x:v>0.000049115168216187676</x:v>
      </x:c>
      <x:c r="H308" s="12" t="n">
        <x:f>SUM($C$8:C308)/'客户小时分布'!$C$8</x:f>
        <x:v>0.999830146132896</x:v>
      </x:c>
    </x:row>
    <x:row r="309" ht="22" customHeight="1">
      <x:c r="A309" s="2"/>
      <x:c r="B309" s="8" t="n">
        <x:v>302</x:v>
      </x:c>
      <x:c r="C309" s="8" t="n">
        <x:v>2</x:v>
      </x:c>
      <x:c r="D309" s="12" t="n">
        <x:f>C309/'客户小时分布'!$C$8</x:f>
        <x:v>0.00000292851495006882</x:v>
      </x:c>
      <x:c r="E309" s="12" t="n">
        <x:f>C309/'客户小时分布'!$C$10</x:f>
        <x:v>2.688172043010753e-7</x:v>
      </x:c>
      <x:c r="F309" s="8" t="n">
        <x:f>B309*C309</x:f>
        <x:v>604</x:v>
      </x:c>
      <x:c r="G309" s="12" t="n">
        <x:f>F309/'客户小时分布'!$C$6</x:f>
        <x:v>0.000049278341532520525</x:v>
      </x:c>
      <x:c r="H309" s="12" t="n">
        <x:f>SUM($C$8:C309)/'客户小时分布'!$C$8</x:f>
        <x:v>0.9998330746478461</x:v>
      </x:c>
    </x:row>
    <x:row r="310" ht="22" customHeight="1">
      <x:c r="A310" s="2"/>
      <x:c r="B310" s="8" t="n">
        <x:v>303</x:v>
      </x:c>
      <x:c r="C310" s="8" t="n">
        <x:v>3</x:v>
      </x:c>
      <x:c r="D310" s="12" t="n">
        <x:f>C310/'客户小时分布'!$C$8</x:f>
        <x:v>0.00000439277242510323</x:v>
      </x:c>
      <x:c r="E310" s="12" t="n">
        <x:f>C310/'客户小时分布'!$C$10</x:f>
        <x:v>4.032258064516129e-7</x:v>
      </x:c>
      <x:c r="F310" s="8" t="n">
        <x:f>B310*C310</x:f>
        <x:v>909</x:v>
      </x:c>
      <x:c r="G310" s="12" t="n">
        <x:f>F310/'客户小时分布'!$C$6</x:f>
        <x:v>0.00007416227227328007</x:v>
      </x:c>
      <x:c r="H310" s="12" t="n">
        <x:f>SUM($C$8:C310)/'客户小时分布'!$C$8</x:f>
        <x:v>0.9998374674202711</x:v>
      </x:c>
    </x:row>
    <x:row r="311" ht="22" customHeight="1">
      <x:c r="A311" s="2"/>
      <x:c r="B311" s="8" t="n">
        <x:v>304</x:v>
      </x:c>
      <x:c r="C311" s="8" t="n">
        <x:v>1</x:v>
      </x:c>
      <x:c r="D311" s="12" t="n">
        <x:f>C311/'客户小时分布'!$C$8</x:f>
        <x:v>0.00000146425747503441</x:v>
      </x:c>
      <x:c r="E311" s="12" t="n">
        <x:f>C311/'客户小时分布'!$C$10</x:f>
        <x:v>1.3440860215053764e-7</x:v>
      </x:c>
      <x:c r="F311" s="8" t="n">
        <x:f>B311*C311</x:f>
        <x:v>304</x:v>
      </x:c>
      <x:c r="G311" s="12" t="n">
        <x:f>F311/'客户小时分布'!$C$6</x:f>
        <x:v>0.00002480234408259311</x:v>
      </x:c>
      <x:c r="H311" s="12" t="n">
        <x:f>SUM($C$8:C311)/'客户小时分布'!$C$8</x:f>
        <x:v>0.9998389316777462</x:v>
      </x:c>
    </x:row>
    <x:row r="312" ht="22" customHeight="1">
      <x:c r="A312" s="2"/>
      <x:c r="B312" s="8" t="n">
        <x:v>305</x:v>
      </x:c>
      <x:c r="C312" s="8" t="n">
        <x:v>1</x:v>
      </x:c>
      <x:c r="D312" s="12" t="n">
        <x:f>C312/'客户小时分布'!$C$8</x:f>
        <x:v>0.00000146425747503441</x:v>
      </x:c>
      <x:c r="E312" s="12" t="n">
        <x:f>C312/'客户小时分布'!$C$10</x:f>
        <x:v>1.3440860215053764e-7</x:v>
      </x:c>
      <x:c r="F312" s="8" t="n">
        <x:f>B312*C312</x:f>
        <x:v>305</x:v>
      </x:c>
      <x:c r="G312" s="12" t="n">
        <x:f>F312/'客户小时分布'!$C$6</x:f>
        <x:v>0.000024883930740759534</x:v>
      </x:c>
      <x:c r="H312" s="12" t="n">
        <x:f>SUM($C$8:C312)/'客户小时分布'!$C$8</x:f>
        <x:v>0.9998403959352212</x:v>
      </x:c>
    </x:row>
    <x:row r="313" ht="22" customHeight="1">
      <x:c r="A313" s="2"/>
      <x:c r="B313" s="8" t="n">
        <x:v>306</x:v>
      </x:c>
      <x:c r="C313" s="8" t="n">
        <x:v>1</x:v>
      </x:c>
      <x:c r="D313" s="12" t="n">
        <x:f>C313/'客户小时分布'!$C$8</x:f>
        <x:v>0.00000146425747503441</x:v>
      </x:c>
      <x:c r="E313" s="12" t="n">
        <x:f>C313/'客户小时分布'!$C$10</x:f>
        <x:v>1.3440860215053764e-7</x:v>
      </x:c>
      <x:c r="F313" s="8" t="n">
        <x:f>B313*C313</x:f>
        <x:v>306</x:v>
      </x:c>
      <x:c r="G313" s="12" t="n">
        <x:f>F313/'客户小时分布'!$C$6</x:f>
        <x:v>0.000024965517398925962</x:v>
      </x:c>
      <x:c r="H313" s="12" t="n">
        <x:f>SUM($C$8:C313)/'客户小时分布'!$C$8</x:f>
        <x:v>0.9998418601926963</x:v>
      </x:c>
    </x:row>
    <x:row r="314" ht="22" customHeight="1">
      <x:c r="A314" s="2"/>
      <x:c r="B314" s="8" t="n">
        <x:v>307</x:v>
      </x:c>
      <x:c r="C314" s="8" t="n">
        <x:v>0</x:v>
      </x:c>
      <x:c r="D314" s="12" t="n">
        <x:f>C314/'客户小时分布'!$C$8</x:f>
        <x:v>0</x:v>
      </x:c>
      <x:c r="E314" s="12" t="n">
        <x:f>C314/'客户小时分布'!$C$10</x:f>
        <x:v>0</x:v>
      </x:c>
      <x:c r="F314" s="8" t="n">
        <x:f>B314*C314</x:f>
        <x:v>0</x:v>
      </x:c>
      <x:c r="G314" s="12" t="n">
        <x:f>F314/'客户小时分布'!$C$6</x:f>
        <x:v>0</x:v>
      </x:c>
      <x:c r="H314" s="12" t="n">
        <x:f>SUM($C$8:C314)/'客户小时分布'!$C$8</x:f>
        <x:v>0.9998418601926963</x:v>
      </x:c>
    </x:row>
    <x:row r="315" ht="22" customHeight="1">
      <x:c r="A315" s="2"/>
      <x:c r="B315" s="8" t="n">
        <x:v>308</x:v>
      </x:c>
      <x:c r="C315" s="8" t="n">
        <x:v>0</x:v>
      </x:c>
      <x:c r="D315" s="12" t="n">
        <x:f>C315/'客户小时分布'!$C$8</x:f>
        <x:v>0</x:v>
      </x:c>
      <x:c r="E315" s="12" t="n">
        <x:f>C315/'客户小时分布'!$C$10</x:f>
        <x:v>0</x:v>
      </x:c>
      <x:c r="F315" s="8" t="n">
        <x:f>B315*C315</x:f>
        <x:v>0</x:v>
      </x:c>
      <x:c r="G315" s="12" t="n">
        <x:f>F315/'客户小时分布'!$C$6</x:f>
        <x:v>0</x:v>
      </x:c>
      <x:c r="H315" s="12" t="n">
        <x:f>SUM($C$8:C315)/'客户小时分布'!$C$8</x:f>
        <x:v>0.9998418601926963</x:v>
      </x:c>
    </x:row>
    <x:row r="316" ht="22" customHeight="1">
      <x:c r="A316" s="2"/>
      <x:c r="B316" s="8" t="n">
        <x:v>309</x:v>
      </x:c>
      <x:c r="C316" s="8" t="n">
        <x:v>2</x:v>
      </x:c>
      <x:c r="D316" s="12" t="n">
        <x:f>C316/'客户小时分布'!$C$8</x:f>
        <x:v>0.00000292851495006882</x:v>
      </x:c>
      <x:c r="E316" s="12" t="n">
        <x:f>C316/'客户小时分布'!$C$10</x:f>
        <x:v>2.688172043010753e-7</x:v>
      </x:c>
      <x:c r="F316" s="8" t="n">
        <x:f>B316*C316</x:f>
        <x:v>618</x:v>
      </x:c>
      <x:c r="G316" s="12" t="n">
        <x:f>F316/'客户小时分布'!$C$6</x:f>
        <x:v>0.00005042055474685047</x:v>
      </x:c>
      <x:c r="H316" s="12" t="n">
        <x:f>SUM($C$8:C316)/'客户小时分布'!$C$8</x:f>
        <x:v>0.9998447887076464</x:v>
      </x:c>
    </x:row>
    <x:row r="317" ht="22" customHeight="1">
      <x:c r="A317" s="2"/>
      <x:c r="B317" s="8" t="n">
        <x:v>310</x:v>
      </x:c>
      <x:c r="C317" s="8" t="n">
        <x:v>1</x:v>
      </x:c>
      <x:c r="D317" s="12" t="n">
        <x:f>C317/'客户小时分布'!$C$8</x:f>
        <x:v>0.00000146425747503441</x:v>
      </x:c>
      <x:c r="E317" s="12" t="n">
        <x:f>C317/'客户小时分布'!$C$10</x:f>
        <x:v>1.3440860215053764e-7</x:v>
      </x:c>
      <x:c r="F317" s="8" t="n">
        <x:f>B317*C317</x:f>
        <x:v>310</x:v>
      </x:c>
      <x:c r="G317" s="12" t="n">
        <x:f>F317/'客户小时分布'!$C$6</x:f>
        <x:v>0.000025291864031591658</x:v>
      </x:c>
      <x:c r="H317" s="12" t="n">
        <x:f>SUM($C$8:C317)/'客户小时分布'!$C$8</x:f>
        <x:v>0.9998462529651214</x:v>
      </x:c>
    </x:row>
    <x:row r="318" ht="22" customHeight="1">
      <x:c r="A318" s="2"/>
      <x:c r="B318" s="8" t="n">
        <x:v>311</x:v>
      </x:c>
      <x:c r="C318" s="8" t="n">
        <x:v>0</x:v>
      </x:c>
      <x:c r="D318" s="12" t="n">
        <x:f>C318/'客户小时分布'!$C$8</x:f>
        <x:v>0</x:v>
      </x:c>
      <x:c r="E318" s="12" t="n">
        <x:f>C318/'客户小时分布'!$C$10</x:f>
        <x:v>0</x:v>
      </x:c>
      <x:c r="F318" s="8" t="n">
        <x:f>B318*C318</x:f>
        <x:v>0</x:v>
      </x:c>
      <x:c r="G318" s="12" t="n">
        <x:f>F318/'客户小时分布'!$C$6</x:f>
        <x:v>0</x:v>
      </x:c>
      <x:c r="H318" s="12" t="n">
        <x:f>SUM($C$8:C318)/'客户小时分布'!$C$8</x:f>
        <x:v>0.9998462529651214</x:v>
      </x:c>
    </x:row>
    <x:row r="319" ht="22" customHeight="1">
      <x:c r="A319" s="2"/>
      <x:c r="B319" s="8" t="n">
        <x:v>312</x:v>
      </x:c>
      <x:c r="C319" s="8" t="n">
        <x:v>1</x:v>
      </x:c>
      <x:c r="D319" s="12" t="n">
        <x:f>C319/'客户小时分布'!$C$8</x:f>
        <x:v>0.00000146425747503441</x:v>
      </x:c>
      <x:c r="E319" s="12" t="n">
        <x:f>C319/'客户小时分布'!$C$10</x:f>
        <x:v>1.3440860215053764e-7</x:v>
      </x:c>
      <x:c r="F319" s="8" t="n">
        <x:f>B319*C319</x:f>
        <x:v>312</x:v>
      </x:c>
      <x:c r="G319" s="12" t="n">
        <x:f>F319/'客户小时分布'!$C$6</x:f>
        <x:v>0.00002545503734792451</x:v>
      </x:c>
      <x:c r="H319" s="12" t="n">
        <x:f>SUM($C$8:C319)/'客户小时分布'!$C$8</x:f>
        <x:v>0.9998477172225965</x:v>
      </x:c>
    </x:row>
    <x:row r="320" ht="22" customHeight="1">
      <x:c r="A320" s="2"/>
      <x:c r="B320" s="8" t="n">
        <x:v>313</x:v>
      </x:c>
      <x:c r="C320" s="8" t="n">
        <x:v>0</x:v>
      </x:c>
      <x:c r="D320" s="12" t="n">
        <x:f>C320/'客户小时分布'!$C$8</x:f>
        <x:v>0</x:v>
      </x:c>
      <x:c r="E320" s="12" t="n">
        <x:f>C320/'客户小时分布'!$C$10</x:f>
        <x:v>0</x:v>
      </x:c>
      <x:c r="F320" s="8" t="n">
        <x:f>B320*C320</x:f>
        <x:v>0</x:v>
      </x:c>
      <x:c r="G320" s="12" t="n">
        <x:f>F320/'客户小时分布'!$C$6</x:f>
        <x:v>0</x:v>
      </x:c>
      <x:c r="H320" s="12" t="n">
        <x:f>SUM($C$8:C320)/'客户小时分布'!$C$8</x:f>
        <x:v>0.9998477172225965</x:v>
      </x:c>
    </x:row>
    <x:row r="321" ht="22" customHeight="1">
      <x:c r="A321" s="2"/>
      <x:c r="B321" s="8" t="n">
        <x:v>314</x:v>
      </x:c>
      <x:c r="C321" s="8" t="n">
        <x:v>0</x:v>
      </x:c>
      <x:c r="D321" s="12" t="n">
        <x:f>C321/'客户小时分布'!$C$8</x:f>
        <x:v>0</x:v>
      </x:c>
      <x:c r="E321" s="12" t="n">
        <x:f>C321/'客户小时分布'!$C$10</x:f>
        <x:v>0</x:v>
      </x:c>
      <x:c r="F321" s="8" t="n">
        <x:f>B321*C321</x:f>
        <x:v>0</x:v>
      </x:c>
      <x:c r="G321" s="12" t="n">
        <x:f>F321/'客户小时分布'!$C$6</x:f>
        <x:v>0</x:v>
      </x:c>
      <x:c r="H321" s="12" t="n">
        <x:f>SUM($C$8:C321)/'客户小时分布'!$C$8</x:f>
        <x:v>0.9998477172225965</x:v>
      </x:c>
    </x:row>
    <x:row r="322" ht="22" customHeight="1">
      <x:c r="A322" s="2"/>
      <x:c r="B322" s="8" t="n">
        <x:v>315</x:v>
      </x:c>
      <x:c r="C322" s="8" t="n">
        <x:v>1</x:v>
      </x:c>
      <x:c r="D322" s="12" t="n">
        <x:f>C322/'客户小时分布'!$C$8</x:f>
        <x:v>0.00000146425747503441</x:v>
      </x:c>
      <x:c r="E322" s="12" t="n">
        <x:f>C322/'客户小时分布'!$C$10</x:f>
        <x:v>1.3440860215053764e-7</x:v>
      </x:c>
      <x:c r="F322" s="8" t="n">
        <x:f>B322*C322</x:f>
        <x:v>315</x:v>
      </x:c>
      <x:c r="G322" s="12" t="n">
        <x:f>F322/'客户小时分布'!$C$6</x:f>
        <x:v>0.000025699797322423782</x:v>
      </x:c>
      <x:c r="H322" s="12" t="n">
        <x:f>SUM($C$8:C322)/'客户小时分布'!$C$8</x:f>
        <x:v>0.9998491814800714</x:v>
      </x:c>
    </x:row>
    <x:row r="323" ht="22" customHeight="1">
      <x:c r="A323" s="2"/>
      <x:c r="B323" s="8" t="n">
        <x:v>316</x:v>
      </x:c>
      <x:c r="C323" s="8" t="n">
        <x:v>2</x:v>
      </x:c>
      <x:c r="D323" s="12" t="n">
        <x:f>C323/'客户小时分布'!$C$8</x:f>
        <x:v>0.00000292851495006882</x:v>
      </x:c>
      <x:c r="E323" s="12" t="n">
        <x:f>C323/'客户小时分布'!$C$10</x:f>
        <x:v>2.688172043010753e-7</x:v>
      </x:c>
      <x:c r="F323" s="8" t="n">
        <x:f>B323*C323</x:f>
        <x:v>632</x:v>
      </x:c>
      <x:c r="G323" s="12" t="n">
        <x:f>F323/'客户小时分布'!$C$6</x:f>
        <x:v>0.00005156276796118042</x:v>
      </x:c>
      <x:c r="H323" s="12" t="n">
        <x:f>SUM($C$8:C323)/'客户小时分布'!$C$8</x:f>
        <x:v>0.9998521099950215</x:v>
      </x:c>
    </x:row>
    <x:row r="324" ht="22" customHeight="1">
      <x:c r="A324" s="2"/>
      <x:c r="B324" s="8" t="n">
        <x:v>317</x:v>
      </x:c>
      <x:c r="C324" s="8" t="n">
        <x:v>2</x:v>
      </x:c>
      <x:c r="D324" s="12" t="n">
        <x:f>C324/'客户小时分布'!$C$8</x:f>
        <x:v>0.00000292851495006882</x:v>
      </x:c>
      <x:c r="E324" s="12" t="n">
        <x:f>C324/'客户小时分布'!$C$10</x:f>
        <x:v>2.688172043010753e-7</x:v>
      </x:c>
      <x:c r="F324" s="8" t="n">
        <x:f>B324*C324</x:f>
        <x:v>634</x:v>
      </x:c>
      <x:c r="G324" s="12" t="n">
        <x:f>F324/'客户小时分布'!$C$6</x:f>
        <x:v>0.00005172594127751327</x:v>
      </x:c>
      <x:c r="H324" s="12" t="n">
        <x:f>SUM($C$8:C324)/'客户小时分布'!$C$8</x:f>
        <x:v>0.9998550385099716</x:v>
      </x:c>
    </x:row>
    <x:row r="325" ht="22" customHeight="1">
      <x:c r="A325" s="2"/>
      <x:c r="B325" s="8" t="n">
        <x:v>318</x:v>
      </x:c>
      <x:c r="C325" s="8" t="n">
        <x:v>2</x:v>
      </x:c>
      <x:c r="D325" s="12" t="n">
        <x:f>C325/'客户小时分布'!$C$8</x:f>
        <x:v>0.00000292851495006882</x:v>
      </x:c>
      <x:c r="E325" s="12" t="n">
        <x:f>C325/'客户小时分布'!$C$10</x:f>
        <x:v>2.688172043010753e-7</x:v>
      </x:c>
      <x:c r="F325" s="8" t="n">
        <x:f>B325*C325</x:f>
        <x:v>636</x:v>
      </x:c>
      <x:c r="G325" s="12" t="n">
        <x:f>F325/'客户小时分布'!$C$6</x:f>
        <x:v>0.000051889114593846115</x:v>
      </x:c>
      <x:c r="H325" s="12" t="n">
        <x:f>SUM($C$8:C325)/'客户小时分布'!$C$8</x:f>
        <x:v>0.9998579670249217</x:v>
      </x:c>
    </x:row>
    <x:row r="326" ht="22" customHeight="1">
      <x:c r="A326" s="2"/>
      <x:c r="B326" s="8" t="n">
        <x:v>319</x:v>
      </x:c>
      <x:c r="C326" s="8" t="n">
        <x:v>2</x:v>
      </x:c>
      <x:c r="D326" s="12" t="n">
        <x:f>C326/'客户小时分布'!$C$8</x:f>
        <x:v>0.00000292851495006882</x:v>
      </x:c>
      <x:c r="E326" s="12" t="n">
        <x:f>C326/'客户小时分布'!$C$10</x:f>
        <x:v>2.688172043010753e-7</x:v>
      </x:c>
      <x:c r="F326" s="8" t="n">
        <x:f>B326*C326</x:f>
        <x:v>638</x:v>
      </x:c>
      <x:c r="G326" s="12" t="n">
        <x:f>F326/'客户小时分布'!$C$6</x:f>
        <x:v>0.00005205228791017896</x:v>
      </x:c>
      <x:c r="H326" s="12" t="n">
        <x:f>SUM($C$8:C326)/'客户小时分布'!$C$8</x:f>
        <x:v>0.9998608955398718</x:v>
      </x:c>
    </x:row>
    <x:row r="327" ht="22" customHeight="1">
      <x:c r="A327" s="2"/>
      <x:c r="B327" s="8" t="n">
        <x:v>320</x:v>
      </x:c>
      <x:c r="C327" s="8" t="n">
        <x:v>3</x:v>
      </x:c>
      <x:c r="D327" s="12" t="n">
        <x:f>C327/'客户小时分布'!$C$8</x:f>
        <x:v>0.00000439277242510323</x:v>
      </x:c>
      <x:c r="E327" s="12" t="n">
        <x:f>C327/'客户小时分布'!$C$10</x:f>
        <x:v>4.032258064516129e-7</x:v>
      </x:c>
      <x:c r="F327" s="8" t="n">
        <x:f>B327*C327</x:f>
        <x:v>960</x:v>
      </x:c>
      <x:c r="G327" s="12" t="n">
        <x:f>F327/'客户小时分布'!$C$6</x:f>
        <x:v>0.00007832319183976772</x:v>
      </x:c>
      <x:c r="H327" s="12" t="n">
        <x:f>SUM($C$8:C327)/'客户小时分布'!$C$8</x:f>
        <x:v>0.9998652883122968</x:v>
      </x:c>
    </x:row>
    <x:row r="328" ht="22" customHeight="1">
      <x:c r="A328" s="2"/>
      <x:c r="B328" s="8" t="n">
        <x:v>321</x:v>
      </x:c>
      <x:c r="C328" s="8" t="n">
        <x:v>1</x:v>
      </x:c>
      <x:c r="D328" s="12" t="n">
        <x:f>C328/'客户小时分布'!$C$8</x:f>
        <x:v>0.00000146425747503441</x:v>
      </x:c>
      <x:c r="E328" s="12" t="n">
        <x:f>C328/'客户小时分布'!$C$10</x:f>
        <x:v>1.3440860215053764e-7</x:v>
      </x:c>
      <x:c r="F328" s="8" t="n">
        <x:f>B328*C328</x:f>
        <x:v>321</x:v>
      </x:c>
      <x:c r="G328" s="12" t="n">
        <x:f>F328/'客户小时分布'!$C$6</x:f>
        <x:v>0.00002618931727142233</x:v>
      </x:c>
      <x:c r="H328" s="12" t="n">
        <x:f>SUM($C$8:C328)/'客户小时分布'!$C$8</x:f>
        <x:v>0.9998667525697719</x:v>
      </x:c>
    </x:row>
    <x:row r="329" ht="22" customHeight="1">
      <x:c r="A329" s="2"/>
      <x:c r="B329" s="8" t="n">
        <x:v>322</x:v>
      </x:c>
      <x:c r="C329" s="8" t="n">
        <x:v>1</x:v>
      </x:c>
      <x:c r="D329" s="12" t="n">
        <x:f>C329/'客户小时分布'!$C$8</x:f>
        <x:v>0.00000146425747503441</x:v>
      </x:c>
      <x:c r="E329" s="12" t="n">
        <x:f>C329/'客户小时分布'!$C$10</x:f>
        <x:v>1.3440860215053764e-7</x:v>
      </x:c>
      <x:c r="F329" s="8" t="n">
        <x:f>B329*C329</x:f>
        <x:v>322</x:v>
      </x:c>
      <x:c r="G329" s="12" t="n">
        <x:f>F329/'客户小时分布'!$C$6</x:f>
        <x:v>0.000026270903929588757</x:v>
      </x:c>
      <x:c r="H329" s="12" t="n">
        <x:f>SUM($C$8:C329)/'客户小时分布'!$C$8</x:f>
        <x:v>0.9998682168272469</x:v>
      </x:c>
    </x:row>
    <x:row r="330" ht="22" customHeight="1">
      <x:c r="A330" s="2"/>
      <x:c r="B330" s="8" t="n">
        <x:v>323</x:v>
      </x:c>
      <x:c r="C330" s="8" t="n">
        <x:v>2</x:v>
      </x:c>
      <x:c r="D330" s="12" t="n">
        <x:f>C330/'客户小时分布'!$C$8</x:f>
        <x:v>0.00000292851495006882</x:v>
      </x:c>
      <x:c r="E330" s="12" t="n">
        <x:f>C330/'客户小时分布'!$C$10</x:f>
        <x:v>2.688172043010753e-7</x:v>
      </x:c>
      <x:c r="F330" s="8" t="n">
        <x:f>B330*C330</x:f>
        <x:v>646</x:v>
      </x:c>
      <x:c r="G330" s="12" t="n">
        <x:f>F330/'客户小时分布'!$C$6</x:f>
        <x:v>0.00005270498117551036</x:v>
      </x:c>
      <x:c r="H330" s="12" t="n">
        <x:f>SUM($C$8:C330)/'客户小时分布'!$C$8</x:f>
        <x:v>0.999871145342197</x:v>
      </x:c>
    </x:row>
    <x:row r="331" ht="22" customHeight="1">
      <x:c r="A331" s="2"/>
      <x:c r="B331" s="8" t="n">
        <x:v>324</x:v>
      </x:c>
      <x:c r="C331" s="8" t="n">
        <x:v>3</x:v>
      </x:c>
      <x:c r="D331" s="12" t="n">
        <x:f>C331/'客户小时分布'!$C$8</x:f>
        <x:v>0.00000439277242510323</x:v>
      </x:c>
      <x:c r="E331" s="12" t="n">
        <x:f>C331/'客户小时分布'!$C$10</x:f>
        <x:v>4.032258064516129e-7</x:v>
      </x:c>
      <x:c r="F331" s="8" t="n">
        <x:f>B331*C331</x:f>
        <x:v>972</x:v>
      </x:c>
      <x:c r="G331" s="12" t="n">
        <x:f>F331/'客户小时分布'!$C$6</x:f>
        <x:v>0.00007930223173776482</x:v>
      </x:c>
      <x:c r="H331" s="12" t="n">
        <x:f>SUM($C$8:C331)/'客户小时分布'!$C$8</x:f>
        <x:v>0.999875538114622</x:v>
      </x:c>
    </x:row>
    <x:row r="332" ht="22" customHeight="1">
      <x:c r="A332" s="2"/>
      <x:c r="B332" s="8" t="n">
        <x:v>325</x:v>
      </x:c>
      <x:c r="C332" s="8" t="n">
        <x:v>1</x:v>
      </x:c>
      <x:c r="D332" s="12" t="n">
        <x:f>C332/'客户小时分布'!$C$8</x:f>
        <x:v>0.00000146425747503441</x:v>
      </x:c>
      <x:c r="E332" s="12" t="n">
        <x:f>C332/'客户小时分布'!$C$10</x:f>
        <x:v>1.3440860215053764e-7</x:v>
      </x:c>
      <x:c r="F332" s="8" t="n">
        <x:f>B332*C332</x:f>
        <x:v>325</x:v>
      </x:c>
      <x:c r="G332" s="12" t="n">
        <x:f>F332/'客户小时分布'!$C$6</x:f>
        <x:v>0.00002651566390408803</x:v>
      </x:c>
      <x:c r="H332" s="12" t="n">
        <x:f>SUM($C$8:C332)/'客户小时分布'!$C$8</x:f>
        <x:v>0.9998770023720971</x:v>
      </x:c>
    </x:row>
    <x:row r="333" ht="22" customHeight="1">
      <x:c r="A333" s="2"/>
      <x:c r="B333" s="8" t="n">
        <x:v>326</x:v>
      </x:c>
      <x:c r="C333" s="8" t="n">
        <x:v>4</x:v>
      </x:c>
      <x:c r="D333" s="12" t="n">
        <x:f>C333/'客户小时分布'!$C$8</x:f>
        <x:v>0.00000585702990013764</x:v>
      </x:c>
      <x:c r="E333" s="12" t="n">
        <x:f>C333/'客户小时分布'!$C$10</x:f>
        <x:v>5.376344086021506e-7</x:v>
      </x:c>
      <x:c r="F333" s="8" t="n">
        <x:f>B333*C333</x:f>
        <x:v>1304</x:v>
      </x:c>
      <x:c r="G333" s="12" t="n">
        <x:f>F333/'客户小时分布'!$C$6</x:f>
        <x:v>0.00010638900224901781</x:v>
      </x:c>
      <x:c r="H333" s="12" t="n">
        <x:f>SUM($C$8:C333)/'客户小时分布'!$C$8</x:f>
        <x:v>0.9998828594019973</x:v>
      </x:c>
    </x:row>
    <x:row r="334" ht="22" customHeight="1">
      <x:c r="A334" s="2"/>
      <x:c r="B334" s="8" t="n">
        <x:v>327</x:v>
      </x:c>
      <x:c r="C334" s="8" t="n">
        <x:v>1</x:v>
      </x:c>
      <x:c r="D334" s="12" t="n">
        <x:f>C334/'客户小时分布'!$C$8</x:f>
        <x:v>0.00000146425747503441</x:v>
      </x:c>
      <x:c r="E334" s="12" t="n">
        <x:f>C334/'客户小时分布'!$C$10</x:f>
        <x:v>1.3440860215053764e-7</x:v>
      </x:c>
      <x:c r="F334" s="8" t="n">
        <x:f>B334*C334</x:f>
        <x:v>327</x:v>
      </x:c>
      <x:c r="G334" s="12" t="n">
        <x:f>F334/'客户小时分布'!$C$6</x:f>
        <x:v>0.00002667883722042088</x:v>
      </x:c>
      <x:c r="H334" s="12" t="n">
        <x:f>SUM($C$8:C334)/'客户小时分布'!$C$8</x:f>
        <x:v>0.9998843236594723</x:v>
      </x:c>
    </x:row>
    <x:row r="335" ht="22" customHeight="1">
      <x:c r="A335" s="2"/>
      <x:c r="B335" s="8" t="n">
        <x:v>328</x:v>
      </x:c>
      <x:c r="C335" s="8" t="n">
        <x:v>2</x:v>
      </x:c>
      <x:c r="D335" s="12" t="n">
        <x:f>C335/'客户小时分布'!$C$8</x:f>
        <x:v>0.00000292851495006882</x:v>
      </x:c>
      <x:c r="E335" s="12" t="n">
        <x:f>C335/'客户小时分布'!$C$10</x:f>
        <x:v>2.688172043010753e-7</x:v>
      </x:c>
      <x:c r="F335" s="8" t="n">
        <x:f>B335*C335</x:f>
        <x:v>656</x:v>
      </x:c>
      <x:c r="G335" s="12" t="n">
        <x:f>F335/'客户小时分布'!$C$6</x:f>
        <x:v>0.00005352084775717461</x:v>
      </x:c>
      <x:c r="H335" s="12" t="n">
        <x:f>SUM($C$8:C335)/'客户小时分布'!$C$8</x:f>
        <x:v>0.9998872521744223</x:v>
      </x:c>
    </x:row>
    <x:row r="336" ht="22" customHeight="1">
      <x:c r="A336" s="2"/>
      <x:c r="B336" s="8" t="n">
        <x:v>329</x:v>
      </x:c>
      <x:c r="C336" s="8" t="n">
        <x:v>0</x:v>
      </x:c>
      <x:c r="D336" s="12" t="n">
        <x:f>C336/'客户小时分布'!$C$8</x:f>
        <x:v>0</x:v>
      </x:c>
      <x:c r="E336" s="12" t="n">
        <x:f>C336/'客户小时分布'!$C$10</x:f>
        <x:v>0</x:v>
      </x:c>
      <x:c r="F336" s="8" t="n">
        <x:f>B336*C336</x:f>
        <x:v>0</x:v>
      </x:c>
      <x:c r="G336" s="12" t="n">
        <x:f>F336/'客户小时分布'!$C$6</x:f>
        <x:v>0</x:v>
      </x:c>
      <x:c r="H336" s="12" t="n">
        <x:f>SUM($C$8:C336)/'客户小时分布'!$C$8</x:f>
        <x:v>0.9998872521744223</x:v>
      </x:c>
    </x:row>
    <x:row r="337" ht="22" customHeight="1">
      <x:c r="A337" s="2"/>
      <x:c r="B337" s="8" t="n">
        <x:v>330</x:v>
      </x:c>
      <x:c r="C337" s="8" t="n">
        <x:v>2</x:v>
      </x:c>
      <x:c r="D337" s="12" t="n">
        <x:f>C337/'客户小时分布'!$C$8</x:f>
        <x:v>0.00000292851495006882</x:v>
      </x:c>
      <x:c r="E337" s="12" t="n">
        <x:f>C337/'客户小时分布'!$C$10</x:f>
        <x:v>2.688172043010753e-7</x:v>
      </x:c>
      <x:c r="F337" s="8" t="n">
        <x:f>B337*C337</x:f>
        <x:v>660</x:v>
      </x:c>
      <x:c r="G337" s="12" t="n">
        <x:f>F337/'客户小时分布'!$C$6</x:f>
        <x:v>0.000053847194389840306</x:v>
      </x:c>
      <x:c r="H337" s="12" t="n">
        <x:f>SUM($C$8:C337)/'客户小时分布'!$C$8</x:f>
        <x:v>0.9998901806893724</x:v>
      </x:c>
    </x:row>
    <x:row r="338" ht="22" customHeight="1">
      <x:c r="A338" s="2"/>
      <x:c r="B338" s="8" t="n">
        <x:v>331</x:v>
      </x:c>
      <x:c r="C338" s="8" t="n">
        <x:v>0</x:v>
      </x:c>
      <x:c r="D338" s="12" t="n">
        <x:f>C338/'客户小时分布'!$C$8</x:f>
        <x:v>0</x:v>
      </x:c>
      <x:c r="E338" s="12" t="n">
        <x:f>C338/'客户小时分布'!$C$10</x:f>
        <x:v>0</x:v>
      </x:c>
      <x:c r="F338" s="8" t="n">
        <x:f>B338*C338</x:f>
        <x:v>0</x:v>
      </x:c>
      <x:c r="G338" s="12" t="n">
        <x:f>F338/'客户小时分布'!$C$6</x:f>
        <x:v>0</x:v>
      </x:c>
      <x:c r="H338" s="12" t="n">
        <x:f>SUM($C$8:C338)/'客户小时分布'!$C$8</x:f>
        <x:v>0.9998901806893724</x:v>
      </x:c>
    </x:row>
    <x:row r="339" ht="22" customHeight="1">
      <x:c r="A339" s="2"/>
      <x:c r="B339" s="8" t="n">
        <x:v>332</x:v>
      </x:c>
      <x:c r="C339" s="8" t="n">
        <x:v>2</x:v>
      </x:c>
      <x:c r="D339" s="12" t="n">
        <x:f>C339/'客户小时分布'!$C$8</x:f>
        <x:v>0.00000292851495006882</x:v>
      </x:c>
      <x:c r="E339" s="12" t="n">
        <x:f>C339/'客户小时分布'!$C$10</x:f>
        <x:v>2.688172043010753e-7</x:v>
      </x:c>
      <x:c r="F339" s="8" t="n">
        <x:f>B339*C339</x:f>
        <x:v>664</x:v>
      </x:c>
      <x:c r="G339" s="12" t="n">
        <x:f>F339/'客户小时分布'!$C$6</x:f>
        <x:v>0.00005417354102250601</x:v>
      </x:c>
      <x:c r="H339" s="12" t="n">
        <x:f>SUM($C$8:C339)/'客户小时分布'!$C$8</x:f>
        <x:v>0.9998931092043225</x:v>
      </x:c>
    </x:row>
    <x:row r="340" ht="22" customHeight="1">
      <x:c r="A340" s="2"/>
      <x:c r="B340" s="8" t="n">
        <x:v>333</x:v>
      </x:c>
      <x:c r="C340" s="8" t="n">
        <x:v>0</x:v>
      </x:c>
      <x:c r="D340" s="12" t="n">
        <x:f>C340/'客户小时分布'!$C$8</x:f>
        <x:v>0</x:v>
      </x:c>
      <x:c r="E340" s="12" t="n">
        <x:f>C340/'客户小时分布'!$C$10</x:f>
        <x:v>0</x:v>
      </x:c>
      <x:c r="F340" s="8" t="n">
        <x:f>B340*C340</x:f>
        <x:v>0</x:v>
      </x:c>
      <x:c r="G340" s="12" t="n">
        <x:f>F340/'客户小时分布'!$C$6</x:f>
        <x:v>0</x:v>
      </x:c>
      <x:c r="H340" s="12" t="n">
        <x:f>SUM($C$8:C340)/'客户小时分布'!$C$8</x:f>
        <x:v>0.9998931092043225</x:v>
      </x:c>
    </x:row>
    <x:row r="341" ht="22" customHeight="1">
      <x:c r="A341" s="2"/>
      <x:c r="B341" s="8" t="n">
        <x:v>334</x:v>
      </x:c>
      <x:c r="C341" s="8" t="n">
        <x:v>0</x:v>
      </x:c>
      <x:c r="D341" s="12" t="n">
        <x:f>C341/'客户小时分布'!$C$8</x:f>
        <x:v>0</x:v>
      </x:c>
      <x:c r="E341" s="12" t="n">
        <x:f>C341/'客户小时分布'!$C$10</x:f>
        <x:v>0</x:v>
      </x:c>
      <x:c r="F341" s="8" t="n">
        <x:f>B341*C341</x:f>
        <x:v>0</x:v>
      </x:c>
      <x:c r="G341" s="12" t="n">
        <x:f>F341/'客户小时分布'!$C$6</x:f>
        <x:v>0</x:v>
      </x:c>
      <x:c r="H341" s="12" t="n">
        <x:f>SUM($C$8:C341)/'客户小时分布'!$C$8</x:f>
        <x:v>0.9998931092043225</x:v>
      </x:c>
    </x:row>
    <x:row r="342" ht="22" customHeight="1">
      <x:c r="A342" s="2"/>
      <x:c r="B342" s="8" t="n">
        <x:v>335</x:v>
      </x:c>
      <x:c r="C342" s="8" t="n">
        <x:v>0</x:v>
      </x:c>
      <x:c r="D342" s="12" t="n">
        <x:f>C342/'客户小时分布'!$C$8</x:f>
        <x:v>0</x:v>
      </x:c>
      <x:c r="E342" s="12" t="n">
        <x:f>C342/'客户小时分布'!$C$10</x:f>
        <x:v>0</x:v>
      </x:c>
      <x:c r="F342" s="8" t="n">
        <x:f>B342*C342</x:f>
        <x:v>0</x:v>
      </x:c>
      <x:c r="G342" s="12" t="n">
        <x:f>F342/'客户小时分布'!$C$6</x:f>
        <x:v>0</x:v>
      </x:c>
      <x:c r="H342" s="12" t="n">
        <x:f>SUM($C$8:C342)/'客户小时分布'!$C$8</x:f>
        <x:v>0.9998931092043225</x:v>
      </x:c>
    </x:row>
    <x:row r="343" ht="22" customHeight="1">
      <x:c r="A343" s="2"/>
      <x:c r="B343" s="8" t="n">
        <x:v>336</x:v>
      </x:c>
      <x:c r="C343" s="8" t="n">
        <x:v>2</x:v>
      </x:c>
      <x:c r="D343" s="12" t="n">
        <x:f>C343/'客户小时分布'!$C$8</x:f>
        <x:v>0.00000292851495006882</x:v>
      </x:c>
      <x:c r="E343" s="12" t="n">
        <x:f>C343/'客户小时分布'!$C$10</x:f>
        <x:v>2.688172043010753e-7</x:v>
      </x:c>
      <x:c r="F343" s="8" t="n">
        <x:f>B343*C343</x:f>
        <x:v>672</x:v>
      </x:c>
      <x:c r="G343" s="12" t="n">
        <x:f>F343/'客户小时分布'!$C$6</x:f>
        <x:v>0.0000548262342878374</x:v>
      </x:c>
      <x:c r="H343" s="12" t="n">
        <x:f>SUM($C$8:C343)/'客户小时分布'!$C$8</x:f>
        <x:v>0.9998960377192726</x:v>
      </x:c>
    </x:row>
    <x:row r="344" ht="22" customHeight="1">
      <x:c r="A344" s="2"/>
      <x:c r="B344" s="8" t="n">
        <x:v>337</x:v>
      </x:c>
      <x:c r="C344" s="8" t="n">
        <x:v>0</x:v>
      </x:c>
      <x:c r="D344" s="12" t="n">
        <x:f>C344/'客户小时分布'!$C$8</x:f>
        <x:v>0</x:v>
      </x:c>
      <x:c r="E344" s="12" t="n">
        <x:f>C344/'客户小时分布'!$C$10</x:f>
        <x:v>0</x:v>
      </x:c>
      <x:c r="F344" s="8" t="n">
        <x:f>B344*C344</x:f>
        <x:v>0</x:v>
      </x:c>
      <x:c r="G344" s="12" t="n">
        <x:f>F344/'客户小时分布'!$C$6</x:f>
        <x:v>0</x:v>
      </x:c>
      <x:c r="H344" s="12" t="n">
        <x:f>SUM($C$8:C344)/'客户小时分布'!$C$8</x:f>
        <x:v>0.9998960377192726</x:v>
      </x:c>
    </x:row>
    <x:row r="345" ht="22" customHeight="1">
      <x:c r="A345" s="2"/>
      <x:c r="B345" s="8" t="n">
        <x:v>338</x:v>
      </x:c>
      <x:c r="C345" s="8" t="n">
        <x:v>0</x:v>
      </x:c>
      <x:c r="D345" s="12" t="n">
        <x:f>C345/'客户小时分布'!$C$8</x:f>
        <x:v>0</x:v>
      </x:c>
      <x:c r="E345" s="12" t="n">
        <x:f>C345/'客户小时分布'!$C$10</x:f>
        <x:v>0</x:v>
      </x:c>
      <x:c r="F345" s="8" t="n">
        <x:f>B345*C345</x:f>
        <x:v>0</x:v>
      </x:c>
      <x:c r="G345" s="12" t="n">
        <x:f>F345/'客户小时分布'!$C$6</x:f>
        <x:v>0</x:v>
      </x:c>
      <x:c r="H345" s="12" t="n">
        <x:f>SUM($C$8:C345)/'客户小时分布'!$C$8</x:f>
        <x:v>0.9998960377192726</x:v>
      </x:c>
    </x:row>
    <x:row r="346" ht="22" customHeight="1">
      <x:c r="A346" s="2"/>
      <x:c r="B346" s="8" t="n">
        <x:v>339</x:v>
      </x:c>
      <x:c r="C346" s="8" t="n">
        <x:v>0</x:v>
      </x:c>
      <x:c r="D346" s="12" t="n">
        <x:f>C346/'客户小时分布'!$C$8</x:f>
        <x:v>0</x:v>
      </x:c>
      <x:c r="E346" s="12" t="n">
        <x:f>C346/'客户小时分布'!$C$10</x:f>
        <x:v>0</x:v>
      </x:c>
      <x:c r="F346" s="8" t="n">
        <x:f>B346*C346</x:f>
        <x:v>0</x:v>
      </x:c>
      <x:c r="G346" s="12" t="n">
        <x:f>F346/'客户小时分布'!$C$6</x:f>
        <x:v>0</x:v>
      </x:c>
      <x:c r="H346" s="12" t="n">
        <x:f>SUM($C$8:C346)/'客户小时分布'!$C$8</x:f>
        <x:v>0.9998960377192726</x:v>
      </x:c>
    </x:row>
    <x:row r="347" ht="22" customHeight="1">
      <x:c r="A347" s="2"/>
      <x:c r="B347" s="8" t="n">
        <x:v>340</x:v>
      </x:c>
      <x:c r="C347" s="8" t="n">
        <x:v>2</x:v>
      </x:c>
      <x:c r="D347" s="12" t="n">
        <x:f>C347/'客户小时分布'!$C$8</x:f>
        <x:v>0.00000292851495006882</x:v>
      </x:c>
      <x:c r="E347" s="12" t="n">
        <x:f>C347/'客户小时分布'!$C$10</x:f>
        <x:v>2.688172043010753e-7</x:v>
      </x:c>
      <x:c r="F347" s="8" t="n">
        <x:f>B347*C347</x:f>
        <x:v>680</x:v>
      </x:c>
      <x:c r="G347" s="12" t="n">
        <x:f>F347/'客户小时分布'!$C$6</x:f>
        <x:v>0.0000554789275531688</x:v>
      </x:c>
      <x:c r="H347" s="12" t="n">
        <x:f>SUM($C$8:C347)/'客户小时分布'!$C$8</x:f>
        <x:v>0.9998989662342226</x:v>
      </x:c>
    </x:row>
    <x:row r="348" ht="22" customHeight="1">
      <x:c r="A348" s="2"/>
      <x:c r="B348" s="8" t="n">
        <x:v>341</x:v>
      </x:c>
      <x:c r="C348" s="8" t="n">
        <x:v>2</x:v>
      </x:c>
      <x:c r="D348" s="12" t="n">
        <x:f>C348/'客户小时分布'!$C$8</x:f>
        <x:v>0.00000292851495006882</x:v>
      </x:c>
      <x:c r="E348" s="12" t="n">
        <x:f>C348/'客户小时分布'!$C$10</x:f>
        <x:v>2.688172043010753e-7</x:v>
      </x:c>
      <x:c r="F348" s="8" t="n">
        <x:f>B348*C348</x:f>
        <x:v>682</x:v>
      </x:c>
      <x:c r="G348" s="12" t="n">
        <x:f>F348/'客户小时分布'!$C$6</x:f>
        <x:v>0.00005564210086950165</x:v>
      </x:c>
      <x:c r="H348" s="12" t="n">
        <x:f>SUM($C$8:C348)/'客户小时分布'!$C$8</x:f>
        <x:v>0.9999018947491727</x:v>
      </x:c>
    </x:row>
    <x:row r="349" ht="22" customHeight="1">
      <x:c r="A349" s="2"/>
      <x:c r="B349" s="8" t="n">
        <x:v>342</x:v>
      </x:c>
      <x:c r="C349" s="8" t="n">
        <x:v>2</x:v>
      </x:c>
      <x:c r="D349" s="12" t="n">
        <x:f>C349/'客户小时分布'!$C$8</x:f>
        <x:v>0.00000292851495006882</x:v>
      </x:c>
      <x:c r="E349" s="12" t="n">
        <x:f>C349/'客户小时分布'!$C$10</x:f>
        <x:v>2.688172043010753e-7</x:v>
      </x:c>
      <x:c r="F349" s="8" t="n">
        <x:f>B349*C349</x:f>
        <x:v>684</x:v>
      </x:c>
      <x:c r="G349" s="12" t="n">
        <x:f>F349/'客户小时分布'!$C$6</x:f>
        <x:v>0.000055805274185834503</x:v>
      </x:c>
      <x:c r="H349" s="12" t="n">
        <x:f>SUM($C$8:C349)/'客户小时分布'!$C$8</x:f>
        <x:v>0.9999048232641228</x:v>
      </x:c>
    </x:row>
    <x:row r="350" ht="22" customHeight="1">
      <x:c r="A350" s="2"/>
      <x:c r="B350" s="8" t="n">
        <x:v>343</x:v>
      </x:c>
      <x:c r="C350" s="8" t="n">
        <x:v>1</x:v>
      </x:c>
      <x:c r="D350" s="12" t="n">
        <x:f>C350/'客户小时分布'!$C$8</x:f>
        <x:v>0.00000146425747503441</x:v>
      </x:c>
      <x:c r="E350" s="12" t="n">
        <x:f>C350/'客户小时分布'!$C$10</x:f>
        <x:v>1.3440860215053764e-7</x:v>
      </x:c>
      <x:c r="F350" s="8" t="n">
        <x:f>B350*C350</x:f>
        <x:v>343</x:v>
      </x:c>
      <x:c r="G350" s="12" t="n">
        <x:f>F350/'客户小时分布'!$C$6</x:f>
        <x:v>0.000027984223751083676</x:v>
      </x:c>
      <x:c r="H350" s="12" t="n">
        <x:f>SUM($C$8:C350)/'客户小时分布'!$C$8</x:f>
        <x:v>0.9999062875215978</x:v>
      </x:c>
    </x:row>
    <x:row r="351" ht="22" customHeight="1">
      <x:c r="A351" s="2"/>
      <x:c r="B351" s="8" t="n">
        <x:v>344</x:v>
      </x:c>
      <x:c r="C351" s="8" t="n">
        <x:v>2</x:v>
      </x:c>
      <x:c r="D351" s="12" t="n">
        <x:f>C351/'客户小时分布'!$C$8</x:f>
        <x:v>0.00000292851495006882</x:v>
      </x:c>
      <x:c r="E351" s="12" t="n">
        <x:f>C351/'客户小时分布'!$C$10</x:f>
        <x:v>2.688172043010753e-7</x:v>
      </x:c>
      <x:c r="F351" s="8" t="n">
        <x:f>B351*C351</x:f>
        <x:v>688</x:v>
      </x:c>
      <x:c r="G351" s="12" t="n">
        <x:f>F351/'客户小时分布'!$C$6</x:f>
        <x:v>0.0000561316208185002</x:v>
      </x:c>
      <x:c r="H351" s="12" t="n">
        <x:f>SUM($C$8:C351)/'客户小时分布'!$C$8</x:f>
        <x:v>0.9999092160365479</x:v>
      </x:c>
    </x:row>
    <x:row r="352" ht="22" customHeight="1">
      <x:c r="A352" s="2"/>
      <x:c r="B352" s="8" t="n">
        <x:v>345</x:v>
      </x:c>
      <x:c r="C352" s="8" t="n">
        <x:v>0</x:v>
      </x:c>
      <x:c r="D352" s="12" t="n">
        <x:f>C352/'客户小时分布'!$C$8</x:f>
        <x:v>0</x:v>
      </x:c>
      <x:c r="E352" s="12" t="n">
        <x:f>C352/'客户小时分布'!$C$10</x:f>
        <x:v>0</x:v>
      </x:c>
      <x:c r="F352" s="8" t="n">
        <x:f>B352*C352</x:f>
        <x:v>0</x:v>
      </x:c>
      <x:c r="G352" s="12" t="n">
        <x:f>F352/'客户小时分布'!$C$6</x:f>
        <x:v>0</x:v>
      </x:c>
      <x:c r="H352" s="12" t="n">
        <x:f>SUM($C$8:C352)/'客户小时分布'!$C$8</x:f>
        <x:v>0.9999092160365479</x:v>
      </x:c>
    </x:row>
    <x:row r="353" ht="22" customHeight="1">
      <x:c r="A353" s="2"/>
      <x:c r="B353" s="8" t="n">
        <x:v>346</x:v>
      </x:c>
      <x:c r="C353" s="8" t="n">
        <x:v>1</x:v>
      </x:c>
      <x:c r="D353" s="12" t="n">
        <x:f>C353/'客户小时分布'!$C$8</x:f>
        <x:v>0.00000146425747503441</x:v>
      </x:c>
      <x:c r="E353" s="12" t="n">
        <x:f>C353/'客户小时分布'!$C$10</x:f>
        <x:v>1.3440860215053764e-7</x:v>
      </x:c>
      <x:c r="F353" s="8" t="n">
        <x:f>B353*C353</x:f>
        <x:v>346</x:v>
      </x:c>
      <x:c r="G353" s="12" t="n">
        <x:f>F353/'客户小时分布'!$C$6</x:f>
        <x:v>0.000028228983725582948</x:v>
      </x:c>
      <x:c r="H353" s="12" t="n">
        <x:f>SUM($C$8:C353)/'客户小时分布'!$C$8</x:f>
        <x:v>0.9999106802940229</x:v>
      </x:c>
    </x:row>
    <x:row r="354" ht="22" customHeight="1">
      <x:c r="A354" s="2"/>
      <x:c r="B354" s="8" t="n">
        <x:v>347</x:v>
      </x:c>
      <x:c r="C354" s="8" t="n">
        <x:v>0</x:v>
      </x:c>
      <x:c r="D354" s="12" t="n">
        <x:f>C354/'客户小时分布'!$C$8</x:f>
        <x:v>0</x:v>
      </x:c>
      <x:c r="E354" s="12" t="n">
        <x:f>C354/'客户小时分布'!$C$10</x:f>
        <x:v>0</x:v>
      </x:c>
      <x:c r="F354" s="8" t="n">
        <x:f>B354*C354</x:f>
        <x:v>0</x:v>
      </x:c>
      <x:c r="G354" s="12" t="n">
        <x:f>F354/'客户小时分布'!$C$6</x:f>
        <x:v>0</x:v>
      </x:c>
      <x:c r="H354" s="12" t="n">
        <x:f>SUM($C$8:C354)/'客户小时分布'!$C$8</x:f>
        <x:v>0.9999106802940229</x:v>
      </x:c>
    </x:row>
    <x:row r="355" ht="22" customHeight="1">
      <x:c r="A355" s="2"/>
      <x:c r="B355" s="8" t="n">
        <x:v>348</x:v>
      </x:c>
      <x:c r="C355" s="8" t="n">
        <x:v>1</x:v>
      </x:c>
      <x:c r="D355" s="12" t="n">
        <x:f>C355/'客户小时分布'!$C$8</x:f>
        <x:v>0.00000146425747503441</x:v>
      </x:c>
      <x:c r="E355" s="12" t="n">
        <x:f>C355/'客户小时分布'!$C$10</x:f>
        <x:v>1.3440860215053764e-7</x:v>
      </x:c>
      <x:c r="F355" s="8" t="n">
        <x:f>B355*C355</x:f>
        <x:v>348</x:v>
      </x:c>
      <x:c r="G355" s="12" t="n">
        <x:f>F355/'客户小时分布'!$C$6</x:f>
        <x:v>0.0000283921570419158</x:v>
      </x:c>
      <x:c r="H355" s="12" t="n">
        <x:f>SUM($C$8:C355)/'客户小时分布'!$C$8</x:f>
        <x:v>0.9999121445514979</x:v>
      </x:c>
    </x:row>
    <x:row r="356" ht="22" customHeight="1">
      <x:c r="A356" s="2"/>
      <x:c r="B356" s="8" t="n">
        <x:v>349</x:v>
      </x:c>
      <x:c r="C356" s="8" t="n">
        <x:v>1</x:v>
      </x:c>
      <x:c r="D356" s="12" t="n">
        <x:f>C356/'客户小时分布'!$C$8</x:f>
        <x:v>0.00000146425747503441</x:v>
      </x:c>
      <x:c r="E356" s="12" t="n">
        <x:f>C356/'客户小时分布'!$C$10</x:f>
        <x:v>1.3440860215053764e-7</x:v>
      </x:c>
      <x:c r="F356" s="8" t="n">
        <x:f>B356*C356</x:f>
        <x:v>349</x:v>
      </x:c>
      <x:c r="G356" s="12" t="n">
        <x:f>F356/'客户小时分布'!$C$6</x:f>
        <x:v>0.000028473743700082224</x:v>
      </x:c>
      <x:c r="H356" s="12" t="n">
        <x:f>SUM($C$8:C356)/'客户小时分布'!$C$8</x:f>
        <x:v>0.999913608808973</x:v>
      </x:c>
    </x:row>
    <x:row r="357" ht="22" customHeight="1">
      <x:c r="A357" s="2"/>
      <x:c r="B357" s="8" t="n">
        <x:v>350</x:v>
      </x:c>
      <x:c r="C357" s="8" t="n">
        <x:v>0</x:v>
      </x:c>
      <x:c r="D357" s="12" t="n">
        <x:f>C357/'客户小时分布'!$C$8</x:f>
        <x:v>0</x:v>
      </x:c>
      <x:c r="E357" s="12" t="n">
        <x:f>C357/'客户小时分布'!$C$10</x:f>
        <x:v>0</x:v>
      </x:c>
      <x:c r="F357" s="8" t="n">
        <x:f>B357*C357</x:f>
        <x:v>0</x:v>
      </x:c>
      <x:c r="G357" s="12" t="n">
        <x:f>F357/'客户小时分布'!$C$6</x:f>
        <x:v>0</x:v>
      </x:c>
      <x:c r="H357" s="12" t="n">
        <x:f>SUM($C$8:C357)/'客户小时分布'!$C$8</x:f>
        <x:v>0.999913608808973</x:v>
      </x:c>
    </x:row>
    <x:row r="358" ht="22" customHeight="1">
      <x:c r="A358" s="2"/>
      <x:c r="B358" s="8" t="n">
        <x:v>351</x:v>
      </x:c>
      <x:c r="C358" s="8" t="n">
        <x:v>0</x:v>
      </x:c>
      <x:c r="D358" s="12" t="n">
        <x:f>C358/'客户小时分布'!$C$8</x:f>
        <x:v>0</x:v>
      </x:c>
      <x:c r="E358" s="12" t="n">
        <x:f>C358/'客户小时分布'!$C$10</x:f>
        <x:v>0</x:v>
      </x:c>
      <x:c r="F358" s="8" t="n">
        <x:f>B358*C358</x:f>
        <x:v>0</x:v>
      </x:c>
      <x:c r="G358" s="12" t="n">
        <x:f>F358/'客户小时分布'!$C$6</x:f>
        <x:v>0</x:v>
      </x:c>
      <x:c r="H358" s="12" t="n">
        <x:f>SUM($C$8:C358)/'客户小时分布'!$C$8</x:f>
        <x:v>0.999913608808973</x:v>
      </x:c>
    </x:row>
    <x:row r="359" ht="22" customHeight="1">
      <x:c r="A359" s="2"/>
      <x:c r="B359" s="8" t="n">
        <x:v>352</x:v>
      </x:c>
      <x:c r="C359" s="8" t="n">
        <x:v>1</x:v>
      </x:c>
      <x:c r="D359" s="12" t="n">
        <x:f>C359/'客户小时分布'!$C$8</x:f>
        <x:v>0.00000146425747503441</x:v>
      </x:c>
      <x:c r="E359" s="12" t="n">
        <x:f>C359/'客户小时分布'!$C$10</x:f>
        <x:v>1.3440860215053764e-7</x:v>
      </x:c>
      <x:c r="F359" s="8" t="n">
        <x:f>B359*C359</x:f>
        <x:v>352</x:v>
      </x:c>
      <x:c r="G359" s="12" t="n">
        <x:f>F359/'客户小时分布'!$C$6</x:f>
        <x:v>0.000028718503674581496</x:v>
      </x:c>
      <x:c r="H359" s="12" t="n">
        <x:f>SUM($C$8:C359)/'客户小时分布'!$C$8</x:f>
        <x:v>0.999915073066448</x:v>
      </x:c>
    </x:row>
    <x:row r="360" ht="22" customHeight="1">
      <x:c r="A360" s="2"/>
      <x:c r="B360" s="8" t="n">
        <x:v>353</x:v>
      </x:c>
      <x:c r="C360" s="8" t="n">
        <x:v>2</x:v>
      </x:c>
      <x:c r="D360" s="12" t="n">
        <x:f>C360/'客户小时分布'!$C$8</x:f>
        <x:v>0.00000292851495006882</x:v>
      </x:c>
      <x:c r="E360" s="12" t="n">
        <x:f>C360/'客户小时分布'!$C$10</x:f>
        <x:v>2.688172043010753e-7</x:v>
      </x:c>
      <x:c r="F360" s="8" t="n">
        <x:f>B360*C360</x:f>
        <x:v>706</x:v>
      </x:c>
      <x:c r="G360" s="12" t="n">
        <x:f>F360/'客户小时分布'!$C$6</x:f>
        <x:v>0.000057600180665495846</x:v>
      </x:c>
      <x:c r="H360" s="12" t="n">
        <x:f>SUM($C$8:C360)/'客户小时分布'!$C$8</x:f>
        <x:v>0.9999180015813981</x:v>
      </x:c>
    </x:row>
    <x:row r="361" ht="22" customHeight="1">
      <x:c r="A361" s="2"/>
      <x:c r="B361" s="8" t="n">
        <x:v>354</x:v>
      </x:c>
      <x:c r="C361" s="8" t="n">
        <x:v>1</x:v>
      </x:c>
      <x:c r="D361" s="12" t="n">
        <x:f>C361/'客户小时分布'!$C$8</x:f>
        <x:v>0.00000146425747503441</x:v>
      </x:c>
      <x:c r="E361" s="12" t="n">
        <x:f>C361/'客户小时分布'!$C$10</x:f>
        <x:v>1.3440860215053764e-7</x:v>
      </x:c>
      <x:c r="F361" s="8" t="n">
        <x:f>B361*C361</x:f>
        <x:v>354</x:v>
      </x:c>
      <x:c r="G361" s="12" t="n">
        <x:f>F361/'客户小时分布'!$C$6</x:f>
        <x:v>0.000028881676990914347</x:v>
      </x:c>
      <x:c r="H361" s="12" t="n">
        <x:f>SUM($C$8:C361)/'客户小时分布'!$C$8</x:f>
        <x:v>0.9999194658388731</x:v>
      </x:c>
    </x:row>
    <x:row r="362" ht="22" customHeight="1">
      <x:c r="A362" s="2"/>
      <x:c r="B362" s="8" t="n">
        <x:v>355</x:v>
      </x:c>
      <x:c r="C362" s="8" t="n">
        <x:v>0</x:v>
      </x:c>
      <x:c r="D362" s="12" t="n">
        <x:f>C362/'客户小时分布'!$C$8</x:f>
        <x:v>0</x:v>
      </x:c>
      <x:c r="E362" s="12" t="n">
        <x:f>C362/'客户小时分布'!$C$10</x:f>
        <x:v>0</x:v>
      </x:c>
      <x:c r="F362" s="8" t="n">
        <x:f>B362*C362</x:f>
        <x:v>0</x:v>
      </x:c>
      <x:c r="G362" s="12" t="n">
        <x:f>F362/'客户小时分布'!$C$6</x:f>
        <x:v>0</x:v>
      </x:c>
      <x:c r="H362" s="12" t="n">
        <x:f>SUM($C$8:C362)/'客户小时分布'!$C$8</x:f>
        <x:v>0.9999194658388731</x:v>
      </x:c>
    </x:row>
    <x:row r="363" ht="22" customHeight="1">
      <x:c r="A363" s="2"/>
      <x:c r="B363" s="8" t="n">
        <x:v>356</x:v>
      </x:c>
      <x:c r="C363" s="8" t="n">
        <x:v>1</x:v>
      </x:c>
      <x:c r="D363" s="12" t="n">
        <x:f>C363/'客户小时分布'!$C$8</x:f>
        <x:v>0.00000146425747503441</x:v>
      </x:c>
      <x:c r="E363" s="12" t="n">
        <x:f>C363/'客户小时分布'!$C$10</x:f>
        <x:v>1.3440860215053764e-7</x:v>
      </x:c>
      <x:c r="F363" s="8" t="n">
        <x:f>B363*C363</x:f>
        <x:v>356</x:v>
      </x:c>
      <x:c r="G363" s="12" t="n">
        <x:f>F363/'客户小时分布'!$C$6</x:f>
        <x:v>0.000029044850307247195</x:v>
      </x:c>
      <x:c r="H363" s="12" t="n">
        <x:f>SUM($C$8:C363)/'客户小时分布'!$C$8</x:f>
        <x:v>0.9999209300963482</x:v>
      </x:c>
    </x:row>
    <x:row r="364" ht="22" customHeight="1">
      <x:c r="A364" s="2"/>
      <x:c r="B364" s="8" t="n">
        <x:v>357</x:v>
      </x:c>
      <x:c r="C364" s="8" t="n">
        <x:v>1</x:v>
      </x:c>
      <x:c r="D364" s="12" t="n">
        <x:f>C364/'客户小时分布'!$C$8</x:f>
        <x:v>0.00000146425747503441</x:v>
      </x:c>
      <x:c r="E364" s="12" t="n">
        <x:f>C364/'客户小时分布'!$C$10</x:f>
        <x:v>1.3440860215053764e-7</x:v>
      </x:c>
      <x:c r="F364" s="8" t="n">
        <x:f>B364*C364</x:f>
        <x:v>357</x:v>
      </x:c>
      <x:c r="G364" s="12" t="n">
        <x:f>F364/'客户小时分布'!$C$6</x:f>
        <x:v>0.00002912643696541362</x:v>
      </x:c>
      <x:c r="H364" s="12" t="n">
        <x:f>SUM($C$8:C364)/'客户小时分布'!$C$8</x:f>
        <x:v>0.9999223943538231</x:v>
      </x:c>
    </x:row>
    <x:row r="365" ht="22" customHeight="1">
      <x:c r="A365" s="2"/>
      <x:c r="B365" s="8" t="n">
        <x:v>358</x:v>
      </x:c>
      <x:c r="C365" s="8" t="n">
        <x:v>0</x:v>
      </x:c>
      <x:c r="D365" s="12" t="n">
        <x:f>C365/'客户小时分布'!$C$8</x:f>
        <x:v>0</x:v>
      </x:c>
      <x:c r="E365" s="12" t="n">
        <x:f>C365/'客户小时分布'!$C$10</x:f>
        <x:v>0</x:v>
      </x:c>
      <x:c r="F365" s="8" t="n">
        <x:f>B365*C365</x:f>
        <x:v>0</x:v>
      </x:c>
      <x:c r="G365" s="12" t="n">
        <x:f>F365/'客户小时分布'!$C$6</x:f>
        <x:v>0</x:v>
      </x:c>
      <x:c r="H365" s="12" t="n">
        <x:f>SUM($C$8:C365)/'客户小时分布'!$C$8</x:f>
        <x:v>0.9999223943538231</x:v>
      </x:c>
    </x:row>
    <x:row r="366" ht="22" customHeight="1">
      <x:c r="A366" s="2"/>
      <x:c r="B366" s="8" t="n">
        <x:v>359</x:v>
      </x:c>
      <x:c r="C366" s="8" t="n">
        <x:v>1</x:v>
      </x:c>
      <x:c r="D366" s="12" t="n">
        <x:f>C366/'客户小时分布'!$C$8</x:f>
        <x:v>0.00000146425747503441</x:v>
      </x:c>
      <x:c r="E366" s="12" t="n">
        <x:f>C366/'客户小时分布'!$C$10</x:f>
        <x:v>1.3440860215053764e-7</x:v>
      </x:c>
      <x:c r="F366" s="8" t="n">
        <x:f>B366*C366</x:f>
        <x:v>359</x:v>
      </x:c>
      <x:c r="G366" s="12" t="n">
        <x:f>F366/'客户小时分布'!$C$6</x:f>
        <x:v>0.00002928961028174647</x:v>
      </x:c>
      <x:c r="H366" s="12" t="n">
        <x:f>SUM($C$8:C366)/'客户小时分布'!$C$8</x:f>
        <x:v>0.9999238586112982</x:v>
      </x:c>
    </x:row>
    <x:row r="367" ht="22" customHeight="1">
      <x:c r="A367" s="2"/>
      <x:c r="B367" s="8" t="n">
        <x:v>360</x:v>
      </x:c>
      <x:c r="C367" s="8" t="n">
        <x:v>0</x:v>
      </x:c>
      <x:c r="D367" s="12" t="n">
        <x:f>C367/'客户小时分布'!$C$8</x:f>
        <x:v>0</x:v>
      </x:c>
      <x:c r="E367" s="12" t="n">
        <x:f>C367/'客户小时分布'!$C$10</x:f>
        <x:v>0</x:v>
      </x:c>
      <x:c r="F367" s="8" t="n">
        <x:f>B367*C367</x:f>
        <x:v>0</x:v>
      </x:c>
      <x:c r="G367" s="12" t="n">
        <x:f>F367/'客户小时分布'!$C$6</x:f>
        <x:v>0</x:v>
      </x:c>
      <x:c r="H367" s="12" t="n">
        <x:f>SUM($C$8:C367)/'客户小时分布'!$C$8</x:f>
        <x:v>0.9999238586112982</x:v>
      </x:c>
    </x:row>
    <x:row r="368" ht="22" customHeight="1">
      <x:c r="A368" s="2"/>
      <x:c r="B368" s="8" t="n">
        <x:v>361</x:v>
      </x:c>
      <x:c r="C368" s="8" t="n">
        <x:v>0</x:v>
      </x:c>
      <x:c r="D368" s="12" t="n">
        <x:f>C368/'客户小时分布'!$C$8</x:f>
        <x:v>0</x:v>
      </x:c>
      <x:c r="E368" s="12" t="n">
        <x:f>C368/'客户小时分布'!$C$10</x:f>
        <x:v>0</x:v>
      </x:c>
      <x:c r="F368" s="8" t="n">
        <x:f>B368*C368</x:f>
        <x:v>0</x:v>
      </x:c>
      <x:c r="G368" s="12" t="n">
        <x:f>F368/'客户小时分布'!$C$6</x:f>
        <x:v>0</x:v>
      </x:c>
      <x:c r="H368" s="12" t="n">
        <x:f>SUM($C$8:C368)/'客户小时分布'!$C$8</x:f>
        <x:v>0.9999238586112982</x:v>
      </x:c>
    </x:row>
    <x:row r="369" ht="22" customHeight="1">
      <x:c r="A369" s="2"/>
      <x:c r="B369" s="8" t="n">
        <x:v>362</x:v>
      </x:c>
      <x:c r="C369" s="8" t="n">
        <x:v>0</x:v>
      </x:c>
      <x:c r="D369" s="12" t="n">
        <x:f>C369/'客户小时分布'!$C$8</x:f>
        <x:v>0</x:v>
      </x:c>
      <x:c r="E369" s="12" t="n">
        <x:f>C369/'客户小时分布'!$C$10</x:f>
        <x:v>0</x:v>
      </x:c>
      <x:c r="F369" s="8" t="n">
        <x:f>B369*C369</x:f>
        <x:v>0</x:v>
      </x:c>
      <x:c r="G369" s="12" t="n">
        <x:f>F369/'客户小时分布'!$C$6</x:f>
        <x:v>0</x:v>
      </x:c>
      <x:c r="H369" s="12" t="n">
        <x:f>SUM($C$8:C369)/'客户小时分布'!$C$8</x:f>
        <x:v>0.9999238586112982</x:v>
      </x:c>
    </x:row>
    <x:row r="370" ht="22" customHeight="1">
      <x:c r="A370" s="2"/>
      <x:c r="B370" s="8" t="n">
        <x:v>363</x:v>
      </x:c>
      <x:c r="C370" s="8" t="n">
        <x:v>1</x:v>
      </x:c>
      <x:c r="D370" s="12" t="n">
        <x:f>C370/'客户小时分布'!$C$8</x:f>
        <x:v>0.00000146425747503441</x:v>
      </x:c>
      <x:c r="E370" s="12" t="n">
        <x:f>C370/'客户小时分布'!$C$10</x:f>
        <x:v>1.3440860215053764e-7</x:v>
      </x:c>
      <x:c r="F370" s="8" t="n">
        <x:f>B370*C370</x:f>
        <x:v>363</x:v>
      </x:c>
      <x:c r="G370" s="12" t="n">
        <x:f>F370/'客户小时分布'!$C$6</x:f>
        <x:v>0.00002961595691441217</x:v>
      </x:c>
      <x:c r="H370" s="12" t="n">
        <x:f>SUM($C$8:C370)/'客户小时分布'!$C$8</x:f>
        <x:v>0.9999253228687732</x:v>
      </x:c>
    </x:row>
    <x:row r="371" ht="22" customHeight="1">
      <x:c r="A371" s="2"/>
      <x:c r="B371" s="8" t="n">
        <x:v>364</x:v>
      </x:c>
      <x:c r="C371" s="8" t="n">
        <x:v>1</x:v>
      </x:c>
      <x:c r="D371" s="12" t="n">
        <x:f>C371/'客户小时分布'!$C$8</x:f>
        <x:v>0.00000146425747503441</x:v>
      </x:c>
      <x:c r="E371" s="12" t="n">
        <x:f>C371/'客户小时分布'!$C$10</x:f>
        <x:v>1.3440860215053764e-7</x:v>
      </x:c>
      <x:c r="F371" s="8" t="n">
        <x:f>B371*C371</x:f>
        <x:v>364</x:v>
      </x:c>
      <x:c r="G371" s="12" t="n">
        <x:f>F371/'客户小时分布'!$C$6</x:f>
        <x:v>0.000029697543572578595</x:v>
      </x:c>
      <x:c r="H371" s="12" t="n">
        <x:f>SUM($C$8:C371)/'客户小时分布'!$C$8</x:f>
        <x:v>0.9999267871262483</x:v>
      </x:c>
    </x:row>
    <x:row r="372" ht="22" customHeight="1">
      <x:c r="A372" s="2"/>
      <x:c r="B372" s="8" t="n">
        <x:v>365</x:v>
      </x:c>
      <x:c r="C372" s="8" t="n">
        <x:v>0</x:v>
      </x:c>
      <x:c r="D372" s="12" t="n">
        <x:f>C372/'客户小时分布'!$C$8</x:f>
        <x:v>0</x:v>
      </x:c>
      <x:c r="E372" s="12" t="n">
        <x:f>C372/'客户小时分布'!$C$10</x:f>
        <x:v>0</x:v>
      </x:c>
      <x:c r="F372" s="8" t="n">
        <x:f>B372*C372</x:f>
        <x:v>0</x:v>
      </x:c>
      <x:c r="G372" s="12" t="n">
        <x:f>F372/'客户小时分布'!$C$6</x:f>
        <x:v>0</x:v>
      </x:c>
      <x:c r="H372" s="12" t="n">
        <x:f>SUM($C$8:C372)/'客户小时分布'!$C$8</x:f>
        <x:v>0.9999267871262483</x:v>
      </x:c>
    </x:row>
    <x:row r="373" ht="22" customHeight="1">
      <x:c r="A373" s="2"/>
      <x:c r="B373" s="8" t="n">
        <x:v>366</x:v>
      </x:c>
      <x:c r="C373" s="8" t="n">
        <x:v>0</x:v>
      </x:c>
      <x:c r="D373" s="12" t="n">
        <x:f>C373/'客户小时分布'!$C$8</x:f>
        <x:v>0</x:v>
      </x:c>
      <x:c r="E373" s="12" t="n">
        <x:f>C373/'客户小时分布'!$C$10</x:f>
        <x:v>0</x:v>
      </x:c>
      <x:c r="F373" s="8" t="n">
        <x:f>B373*C373</x:f>
        <x:v>0</x:v>
      </x:c>
      <x:c r="G373" s="12" t="n">
        <x:f>F373/'客户小时分布'!$C$6</x:f>
        <x:v>0</x:v>
      </x:c>
      <x:c r="H373" s="12" t="n">
        <x:f>SUM($C$8:C373)/'客户小时分布'!$C$8</x:f>
        <x:v>0.9999267871262483</x:v>
      </x:c>
    </x:row>
    <x:row r="374" ht="22" customHeight="1">
      <x:c r="A374" s="2"/>
      <x:c r="B374" s="8" t="n">
        <x:v>367</x:v>
      </x:c>
      <x:c r="C374" s="8" t="n">
        <x:v>3</x:v>
      </x:c>
      <x:c r="D374" s="12" t="n">
        <x:f>C374/'客户小时分布'!$C$8</x:f>
        <x:v>0.00000439277242510323</x:v>
      </x:c>
      <x:c r="E374" s="12" t="n">
        <x:f>C374/'客户小时分布'!$C$10</x:f>
        <x:v>4.032258064516129e-7</x:v>
      </x:c>
      <x:c r="F374" s="8" t="n">
        <x:f>B374*C374</x:f>
        <x:v>1101</x:v>
      </x:c>
      <x:c r="G374" s="12" t="n">
        <x:f>F374/'客户小时分布'!$C$6</x:f>
        <x:v>0.00008982691064123361</x:v>
      </x:c>
      <x:c r="H374" s="12" t="n">
        <x:f>SUM($C$8:C374)/'客户小时分布'!$C$8</x:f>
        <x:v>0.9999311798986734</x:v>
      </x:c>
    </x:row>
    <x:row r="375" ht="22" customHeight="1">
      <x:c r="A375" s="2"/>
      <x:c r="B375" s="8" t="n">
        <x:v>368</x:v>
      </x:c>
      <x:c r="C375" s="8" t="n">
        <x:v>0</x:v>
      </x:c>
      <x:c r="D375" s="12" t="n">
        <x:f>C375/'客户小时分布'!$C$8</x:f>
        <x:v>0</x:v>
      </x:c>
      <x:c r="E375" s="12" t="n">
        <x:f>C375/'客户小时分布'!$C$10</x:f>
        <x:v>0</x:v>
      </x:c>
      <x:c r="F375" s="8" t="n">
        <x:f>B375*C375</x:f>
        <x:v>0</x:v>
      </x:c>
      <x:c r="G375" s="12" t="n">
        <x:f>F375/'客户小时分布'!$C$6</x:f>
        <x:v>0</x:v>
      </x:c>
      <x:c r="H375" s="12" t="n">
        <x:f>SUM($C$8:C375)/'客户小时分布'!$C$8</x:f>
        <x:v>0.9999311798986734</x:v>
      </x:c>
    </x:row>
    <x:row r="376" ht="22" customHeight="1">
      <x:c r="A376" s="2"/>
      <x:c r="B376" s="8" t="n">
        <x:v>369</x:v>
      </x:c>
      <x:c r="C376" s="8" t="n">
        <x:v>0</x:v>
      </x:c>
      <x:c r="D376" s="12" t="n">
        <x:f>C376/'客户小时分布'!$C$8</x:f>
        <x:v>0</x:v>
      </x:c>
      <x:c r="E376" s="12" t="n">
        <x:f>C376/'客户小时分布'!$C$10</x:f>
        <x:v>0</x:v>
      </x:c>
      <x:c r="F376" s="8" t="n">
        <x:f>B376*C376</x:f>
        <x:v>0</x:v>
      </x:c>
      <x:c r="G376" s="12" t="n">
        <x:f>F376/'客户小时分布'!$C$6</x:f>
        <x:v>0</x:v>
      </x:c>
      <x:c r="H376" s="12" t="n">
        <x:f>SUM($C$8:C376)/'客户小时分布'!$C$8</x:f>
        <x:v>0.9999311798986734</x:v>
      </x:c>
    </x:row>
    <x:row r="377" ht="22" customHeight="1">
      <x:c r="A377" s="2"/>
      <x:c r="B377" s="8" t="n">
        <x:v>370</x:v>
      </x:c>
      <x:c r="C377" s="8" t="n">
        <x:v>0</x:v>
      </x:c>
      <x:c r="D377" s="12" t="n">
        <x:f>C377/'客户小时分布'!$C$8</x:f>
        <x:v>0</x:v>
      </x:c>
      <x:c r="E377" s="12" t="n">
        <x:f>C377/'客户小时分布'!$C$10</x:f>
        <x:v>0</x:v>
      </x:c>
      <x:c r="F377" s="8" t="n">
        <x:f>B377*C377</x:f>
        <x:v>0</x:v>
      </x:c>
      <x:c r="G377" s="12" t="n">
        <x:f>F377/'客户小时分布'!$C$6</x:f>
        <x:v>0</x:v>
      </x:c>
      <x:c r="H377" s="12" t="n">
        <x:f>SUM($C$8:C377)/'客户小时分布'!$C$8</x:f>
        <x:v>0.9999311798986734</x:v>
      </x:c>
    </x:row>
    <x:row r="378" ht="22" customHeight="1">
      <x:c r="A378" s="2"/>
      <x:c r="B378" s="8" t="n">
        <x:v>371</x:v>
      </x:c>
      <x:c r="C378" s="8" t="n">
        <x:v>1</x:v>
      </x:c>
      <x:c r="D378" s="12" t="n">
        <x:f>C378/'客户小时分布'!$C$8</x:f>
        <x:v>0.00000146425747503441</x:v>
      </x:c>
      <x:c r="E378" s="12" t="n">
        <x:f>C378/'客户小时分布'!$C$10</x:f>
        <x:v>1.3440860215053764e-7</x:v>
      </x:c>
      <x:c r="F378" s="8" t="n">
        <x:f>B378*C378</x:f>
        <x:v>371</x:v>
      </x:c>
      <x:c r="G378" s="12" t="n">
        <x:f>F378/'客户小时分布'!$C$6</x:f>
        <x:v>0.000030268650179743566</x:v>
      </x:c>
      <x:c r="H378" s="12" t="n">
        <x:f>SUM($C$8:C378)/'客户小时分布'!$C$8</x:f>
        <x:v>0.9999326441561485</x:v>
      </x:c>
    </x:row>
    <x:row r="379" ht="22" customHeight="1">
      <x:c r="A379" s="2"/>
      <x:c r="B379" s="8" t="n">
        <x:v>372</x:v>
      </x:c>
      <x:c r="C379" s="8" t="n">
        <x:v>0</x:v>
      </x:c>
      <x:c r="D379" s="12" t="n">
        <x:f>C379/'客户小时分布'!$C$8</x:f>
        <x:v>0</x:v>
      </x:c>
      <x:c r="E379" s="12" t="n">
        <x:f>C379/'客户小时分布'!$C$10</x:f>
        <x:v>0</x:v>
      </x:c>
      <x:c r="F379" s="8" t="n">
        <x:f>B379*C379</x:f>
        <x:v>0</x:v>
      </x:c>
      <x:c r="G379" s="12" t="n">
        <x:f>F379/'客户小时分布'!$C$6</x:f>
        <x:v>0</x:v>
      </x:c>
      <x:c r="H379" s="12" t="n">
        <x:f>SUM($C$8:C379)/'客户小时分布'!$C$8</x:f>
        <x:v>0.9999326441561485</x:v>
      </x:c>
    </x:row>
    <x:row r="380" ht="22" customHeight="1">
      <x:c r="A380" s="2"/>
      <x:c r="B380" s="8" t="n">
        <x:v>373</x:v>
      </x:c>
      <x:c r="C380" s="8" t="n">
        <x:v>0</x:v>
      </x:c>
      <x:c r="D380" s="12" t="n">
        <x:f>C380/'客户小时分布'!$C$8</x:f>
        <x:v>0</x:v>
      </x:c>
      <x:c r="E380" s="12" t="n">
        <x:f>C380/'客户小时分布'!$C$10</x:f>
        <x:v>0</x:v>
      </x:c>
      <x:c r="F380" s="8" t="n">
        <x:f>B380*C380</x:f>
        <x:v>0</x:v>
      </x:c>
      <x:c r="G380" s="12" t="n">
        <x:f>F380/'客户小时分布'!$C$6</x:f>
        <x:v>0</x:v>
      </x:c>
      <x:c r="H380" s="12" t="n">
        <x:f>SUM($C$8:C380)/'客户小时分布'!$C$8</x:f>
        <x:v>0.9999326441561485</x:v>
      </x:c>
    </x:row>
    <x:row r="381" ht="22" customHeight="1">
      <x:c r="A381" s="2"/>
      <x:c r="B381" s="8" t="n">
        <x:v>374</x:v>
      </x:c>
      <x:c r="C381" s="8" t="n">
        <x:v>1</x:v>
      </x:c>
      <x:c r="D381" s="12" t="n">
        <x:f>C381/'客户小时分布'!$C$8</x:f>
        <x:v>0.00000146425747503441</x:v>
      </x:c>
      <x:c r="E381" s="12" t="n">
        <x:f>C381/'客户小时分布'!$C$10</x:f>
        <x:v>1.3440860215053764e-7</x:v>
      </x:c>
      <x:c r="F381" s="8" t="n">
        <x:f>B381*C381</x:f>
        <x:v>374</x:v>
      </x:c>
      <x:c r="G381" s="12" t="n">
        <x:f>F381/'客户小时分布'!$C$6</x:f>
        <x:v>0.000030513410154242842</x:v>
      </x:c>
      <x:c r="H381" s="12" t="n">
        <x:f>SUM($C$8:C381)/'客户小时分布'!$C$8</x:f>
        <x:v>0.9999341084136234</x:v>
      </x:c>
    </x:row>
    <x:row r="382" ht="22" customHeight="1">
      <x:c r="A382" s="2"/>
      <x:c r="B382" s="8" t="n">
        <x:v>375</x:v>
      </x:c>
      <x:c r="C382" s="8" t="n">
        <x:v>0</x:v>
      </x:c>
      <x:c r="D382" s="12" t="n">
        <x:f>C382/'客户小时分布'!$C$8</x:f>
        <x:v>0</x:v>
      </x:c>
      <x:c r="E382" s="12" t="n">
        <x:f>C382/'客户小时分布'!$C$10</x:f>
        <x:v>0</x:v>
      </x:c>
      <x:c r="F382" s="8" t="n">
        <x:f>B382*C382</x:f>
        <x:v>0</x:v>
      </x:c>
      <x:c r="G382" s="12" t="n">
        <x:f>F382/'客户小时分布'!$C$6</x:f>
        <x:v>0</x:v>
      </x:c>
      <x:c r="H382" s="12" t="n">
        <x:f>SUM($C$8:C382)/'客户小时分布'!$C$8</x:f>
        <x:v>0.9999341084136234</x:v>
      </x:c>
    </x:row>
    <x:row r="383" ht="22" customHeight="1">
      <x:c r="A383" s="2"/>
      <x:c r="B383" s="8" t="n">
        <x:v>376</x:v>
      </x:c>
      <x:c r="C383" s="8" t="n">
        <x:v>0</x:v>
      </x:c>
      <x:c r="D383" s="12" t="n">
        <x:f>C383/'客户小时分布'!$C$8</x:f>
        <x:v>0</x:v>
      </x:c>
      <x:c r="E383" s="12" t="n">
        <x:f>C383/'客户小时分布'!$C$10</x:f>
        <x:v>0</x:v>
      </x:c>
      <x:c r="F383" s="8" t="n">
        <x:f>B383*C383</x:f>
        <x:v>0</x:v>
      </x:c>
      <x:c r="G383" s="12" t="n">
        <x:f>F383/'客户小时分布'!$C$6</x:f>
        <x:v>0</x:v>
      </x:c>
      <x:c r="H383" s="12" t="n">
        <x:f>SUM($C$8:C383)/'客户小时分布'!$C$8</x:f>
        <x:v>0.9999341084136234</x:v>
      </x:c>
    </x:row>
    <x:row r="384" ht="22" customHeight="1">
      <x:c r="A384" s="2"/>
      <x:c r="B384" s="8" t="n">
        <x:v>377</x:v>
      </x:c>
      <x:c r="C384" s="8" t="n">
        <x:v>1</x:v>
      </x:c>
      <x:c r="D384" s="12" t="n">
        <x:f>C384/'客户小时分布'!$C$8</x:f>
        <x:v>0.00000146425747503441</x:v>
      </x:c>
      <x:c r="E384" s="12" t="n">
        <x:f>C384/'客户小时分布'!$C$10</x:f>
        <x:v>1.3440860215053764e-7</x:v>
      </x:c>
      <x:c r="F384" s="8" t="n">
        <x:f>B384*C384</x:f>
        <x:v>377</x:v>
      </x:c>
      <x:c r="G384" s="12" t="n">
        <x:f>F384/'客户小时分布'!$C$6</x:f>
        <x:v>0.000030758170128742114</x:v>
      </x:c>
      <x:c r="H384" s="12" t="n">
        <x:f>SUM($C$8:C384)/'客户小时分布'!$C$8</x:f>
        <x:v>0.9999355726710984</x:v>
      </x:c>
    </x:row>
    <x:row r="385" ht="22" customHeight="1">
      <x:c r="A385" s="2"/>
      <x:c r="B385" s="8" t="n">
        <x:v>378</x:v>
      </x:c>
      <x:c r="C385" s="8" t="n">
        <x:v>0</x:v>
      </x:c>
      <x:c r="D385" s="12" t="n">
        <x:f>C385/'客户小时分布'!$C$8</x:f>
        <x:v>0</x:v>
      </x:c>
      <x:c r="E385" s="12" t="n">
        <x:f>C385/'客户小时分布'!$C$10</x:f>
        <x:v>0</x:v>
      </x:c>
      <x:c r="F385" s="8" t="n">
        <x:f>B385*C385</x:f>
        <x:v>0</x:v>
      </x:c>
      <x:c r="G385" s="12" t="n">
        <x:f>F385/'客户小时分布'!$C$6</x:f>
        <x:v>0</x:v>
      </x:c>
      <x:c r="H385" s="12" t="n">
        <x:f>SUM($C$8:C385)/'客户小时分布'!$C$8</x:f>
        <x:v>0.9999355726710984</x:v>
      </x:c>
    </x:row>
    <x:row r="386" ht="22" customHeight="1">
      <x:c r="A386" s="2"/>
      <x:c r="B386" s="8" t="n">
        <x:v>379</x:v>
      </x:c>
      <x:c r="C386" s="8" t="n">
        <x:v>0</x:v>
      </x:c>
      <x:c r="D386" s="12" t="n">
        <x:f>C386/'客户小时分布'!$C$8</x:f>
        <x:v>0</x:v>
      </x:c>
      <x:c r="E386" s="12" t="n">
        <x:f>C386/'客户小时分布'!$C$10</x:f>
        <x:v>0</x:v>
      </x:c>
      <x:c r="F386" s="8" t="n">
        <x:f>B386*C386</x:f>
        <x:v>0</x:v>
      </x:c>
      <x:c r="G386" s="12" t="n">
        <x:f>F386/'客户小时分布'!$C$6</x:f>
        <x:v>0</x:v>
      </x:c>
      <x:c r="H386" s="12" t="n">
        <x:f>SUM($C$8:C386)/'客户小时分布'!$C$8</x:f>
        <x:v>0.9999355726710984</x:v>
      </x:c>
    </x:row>
    <x:row r="387" ht="22" customHeight="1">
      <x:c r="A387" s="2"/>
      <x:c r="B387" s="8" t="n">
        <x:v>380</x:v>
      </x:c>
      <x:c r="C387" s="8" t="n">
        <x:v>1</x:v>
      </x:c>
      <x:c r="D387" s="12" t="n">
        <x:f>C387/'客户小时分布'!$C$8</x:f>
        <x:v>0.00000146425747503441</x:v>
      </x:c>
      <x:c r="E387" s="12" t="n">
        <x:f>C387/'客户小时分布'!$C$10</x:f>
        <x:v>1.3440860215053764e-7</x:v>
      </x:c>
      <x:c r="F387" s="8" t="n">
        <x:f>B387*C387</x:f>
        <x:v>380</x:v>
      </x:c>
      <x:c r="G387" s="12" t="n">
        <x:f>F387/'客户小时分布'!$C$6</x:f>
        <x:v>0.000031002930103241386</x:v>
      </x:c>
      <x:c r="H387" s="12" t="n">
        <x:f>SUM($C$8:C387)/'客户小时分布'!$C$8</x:f>
        <x:v>0.9999370369285735</x:v>
      </x:c>
    </x:row>
    <x:row r="388" ht="22" customHeight="1">
      <x:c r="A388" s="2"/>
      <x:c r="B388" s="8" t="n">
        <x:v>381</x:v>
      </x:c>
      <x:c r="C388" s="8" t="n">
        <x:v>2</x:v>
      </x:c>
      <x:c r="D388" s="12" t="n">
        <x:f>C388/'客户小时分布'!$C$8</x:f>
        <x:v>0.00000292851495006882</x:v>
      </x:c>
      <x:c r="E388" s="12" t="n">
        <x:f>C388/'客户小时分布'!$C$10</x:f>
        <x:v>2.688172043010753e-7</x:v>
      </x:c>
      <x:c r="F388" s="8" t="n">
        <x:f>B388*C388</x:f>
        <x:v>762</x:v>
      </x:c>
      <x:c r="G388" s="12" t="n">
        <x:f>F388/'客户小时分布'!$C$6</x:f>
        <x:v>0.00006216903352281562</x:v>
      </x:c>
      <x:c r="H388" s="12" t="n">
        <x:f>SUM($C$8:C388)/'客户小时分布'!$C$8</x:f>
        <x:v>0.9999399654435236</x:v>
      </x:c>
    </x:row>
    <x:row r="389" ht="22" customHeight="1">
      <x:c r="A389" s="2"/>
      <x:c r="B389" s="8" t="n">
        <x:v>382</x:v>
      </x:c>
      <x:c r="C389" s="8" t="n">
        <x:v>0</x:v>
      </x:c>
      <x:c r="D389" s="12" t="n">
        <x:f>C389/'客户小时分布'!$C$8</x:f>
        <x:v>0</x:v>
      </x:c>
      <x:c r="E389" s="12" t="n">
        <x:f>C389/'客户小时分布'!$C$10</x:f>
        <x:v>0</x:v>
      </x:c>
      <x:c r="F389" s="8" t="n">
        <x:f>B389*C389</x:f>
        <x:v>0</x:v>
      </x:c>
      <x:c r="G389" s="12" t="n">
        <x:f>F389/'客户小时分布'!$C$6</x:f>
        <x:v>0</x:v>
      </x:c>
      <x:c r="H389" s="12" t="n">
        <x:f>SUM($C$8:C389)/'客户小时分布'!$C$8</x:f>
        <x:v>0.9999399654435236</x:v>
      </x:c>
    </x:row>
    <x:row r="390" ht="22" customHeight="1">
      <x:c r="A390" s="2"/>
      <x:c r="B390" s="8" t="n">
        <x:v>383</x:v>
      </x:c>
      <x:c r="C390" s="8" t="n">
        <x:v>0</x:v>
      </x:c>
      <x:c r="D390" s="12" t="n">
        <x:f>C390/'客户小时分布'!$C$8</x:f>
        <x:v>0</x:v>
      </x:c>
      <x:c r="E390" s="12" t="n">
        <x:f>C390/'客户小时分布'!$C$10</x:f>
        <x:v>0</x:v>
      </x:c>
      <x:c r="F390" s="8" t="n">
        <x:f>B390*C390</x:f>
        <x:v>0</x:v>
      </x:c>
      <x:c r="G390" s="12" t="n">
        <x:f>F390/'客户小时分布'!$C$6</x:f>
        <x:v>0</x:v>
      </x:c>
      <x:c r="H390" s="12" t="n">
        <x:f>SUM($C$8:C390)/'客户小时分布'!$C$8</x:f>
        <x:v>0.9999399654435236</x:v>
      </x:c>
    </x:row>
    <x:row r="391" ht="22" customHeight="1">
      <x:c r="A391" s="2"/>
      <x:c r="B391" s="8" t="n">
        <x:v>384</x:v>
      </x:c>
      <x:c r="C391" s="8" t="n">
        <x:v>0</x:v>
      </x:c>
      <x:c r="D391" s="12" t="n">
        <x:f>C391/'客户小时分布'!$C$8</x:f>
        <x:v>0</x:v>
      </x:c>
      <x:c r="E391" s="12" t="n">
        <x:f>C391/'客户小时分布'!$C$10</x:f>
        <x:v>0</x:v>
      </x:c>
      <x:c r="F391" s="8" t="n">
        <x:f>B391*C391</x:f>
        <x:v>0</x:v>
      </x:c>
      <x:c r="G391" s="12" t="n">
        <x:f>F391/'客户小时分布'!$C$6</x:f>
        <x:v>0</x:v>
      </x:c>
      <x:c r="H391" s="12" t="n">
        <x:f>SUM($C$8:C391)/'客户小时分布'!$C$8</x:f>
        <x:v>0.9999399654435236</x:v>
      </x:c>
    </x:row>
    <x:row r="392" ht="22" customHeight="1">
      <x:c r="A392" s="2"/>
      <x:c r="B392" s="8" t="n">
        <x:v>385</x:v>
      </x:c>
      <x:c r="C392" s="8" t="n">
        <x:v>1</x:v>
      </x:c>
      <x:c r="D392" s="12" t="n">
        <x:f>C392/'客户小时分布'!$C$8</x:f>
        <x:v>0.00000146425747503441</x:v>
      </x:c>
      <x:c r="E392" s="12" t="n">
        <x:f>C392/'客户小时分布'!$C$10</x:f>
        <x:v>1.3440860215053764e-7</x:v>
      </x:c>
      <x:c r="F392" s="8" t="n">
        <x:f>B392*C392</x:f>
        <x:v>385</x:v>
      </x:c>
      <x:c r="G392" s="12" t="n">
        <x:f>F392/'客户小时分布'!$C$6</x:f>
        <x:v>0.00003141086339407351</x:v>
      </x:c>
      <x:c r="H392" s="12" t="n">
        <x:f>SUM($C$8:C392)/'客户小时分布'!$C$8</x:f>
        <x:v>0.9999414297009986</x:v>
      </x:c>
    </x:row>
    <x:row r="393" ht="22" customHeight="1">
      <x:c r="A393" s="2"/>
      <x:c r="B393" s="8" t="n">
        <x:v>386</x:v>
      </x:c>
      <x:c r="C393" s="8" t="n">
        <x:v>0</x:v>
      </x:c>
      <x:c r="D393" s="12" t="n">
        <x:f>C393/'客户小时分布'!$C$8</x:f>
        <x:v>0</x:v>
      </x:c>
      <x:c r="E393" s="12" t="n">
        <x:f>C393/'客户小时分布'!$C$10</x:f>
        <x:v>0</x:v>
      </x:c>
      <x:c r="F393" s="8" t="n">
        <x:f>B393*C393</x:f>
        <x:v>0</x:v>
      </x:c>
      <x:c r="G393" s="12" t="n">
        <x:f>F393/'客户小时分布'!$C$6</x:f>
        <x:v>0</x:v>
      </x:c>
      <x:c r="H393" s="12" t="n">
        <x:f>SUM($C$8:C393)/'客户小时分布'!$C$8</x:f>
        <x:v>0.9999414297009986</x:v>
      </x:c>
    </x:row>
    <x:row r="394" ht="22" customHeight="1">
      <x:c r="A394" s="2"/>
      <x:c r="B394" s="8" t="n">
        <x:v>387</x:v>
      </x:c>
      <x:c r="C394" s="8" t="n">
        <x:v>1</x:v>
      </x:c>
      <x:c r="D394" s="12" t="n">
        <x:f>C394/'客户小时分布'!$C$8</x:f>
        <x:v>0.00000146425747503441</x:v>
      </x:c>
      <x:c r="E394" s="12" t="n">
        <x:f>C394/'客户小时分布'!$C$10</x:f>
        <x:v>1.3440860215053764e-7</x:v>
      </x:c>
      <x:c r="F394" s="8" t="n">
        <x:f>B394*C394</x:f>
        <x:v>387</x:v>
      </x:c>
      <x:c r="G394" s="12" t="n">
        <x:f>F394/'客户小时分布'!$C$6</x:f>
        <x:v>0.00003157403671040636</x:v>
      </x:c>
      <x:c r="H394" s="12" t="n">
        <x:f>SUM($C$8:C394)/'客户小时分布'!$C$8</x:f>
        <x:v>0.9999428939584737</x:v>
      </x:c>
    </x:row>
    <x:row r="395" ht="22" customHeight="1">
      <x:c r="A395" s="2"/>
      <x:c r="B395" s="8" t="n">
        <x:v>388</x:v>
      </x:c>
      <x:c r="C395" s="8" t="n">
        <x:v>0</x:v>
      </x:c>
      <x:c r="D395" s="12" t="n">
        <x:f>C395/'客户小时分布'!$C$8</x:f>
        <x:v>0</x:v>
      </x:c>
      <x:c r="E395" s="12" t="n">
        <x:f>C395/'客户小时分布'!$C$10</x:f>
        <x:v>0</x:v>
      </x:c>
      <x:c r="F395" s="8" t="n">
        <x:f>B395*C395</x:f>
        <x:v>0</x:v>
      </x:c>
      <x:c r="G395" s="12" t="n">
        <x:f>F395/'客户小时分布'!$C$6</x:f>
        <x:v>0</x:v>
      </x:c>
      <x:c r="H395" s="12" t="n">
        <x:f>SUM($C$8:C395)/'客户小时分布'!$C$8</x:f>
        <x:v>0.9999428939584737</x:v>
      </x:c>
    </x:row>
    <x:row r="396" ht="22" customHeight="1">
      <x:c r="A396" s="2"/>
      <x:c r="B396" s="8" t="n">
        <x:v>389</x:v>
      </x:c>
      <x:c r="C396" s="8" t="n">
        <x:v>1</x:v>
      </x:c>
      <x:c r="D396" s="12" t="n">
        <x:f>C396/'客户小时分布'!$C$8</x:f>
        <x:v>0.00000146425747503441</x:v>
      </x:c>
      <x:c r="E396" s="12" t="n">
        <x:f>C396/'客户小时分布'!$C$10</x:f>
        <x:v>1.3440860215053764e-7</x:v>
      </x:c>
      <x:c r="F396" s="8" t="n">
        <x:f>B396*C396</x:f>
        <x:v>389</x:v>
      </x:c>
      <x:c r="G396" s="12" t="n">
        <x:f>F396/'客户小时分布'!$C$6</x:f>
        <x:v>0.00003173721002673921</x:v>
      </x:c>
      <x:c r="H396" s="12" t="n">
        <x:f>SUM($C$8:C396)/'客户小时分布'!$C$8</x:f>
        <x:v>0.9999443582159487</x:v>
      </x:c>
    </x:row>
    <x:row r="397" ht="22" customHeight="1">
      <x:c r="A397" s="2"/>
      <x:c r="B397" s="8" t="n">
        <x:v>390</x:v>
      </x:c>
      <x:c r="C397" s="8" t="n">
        <x:v>0</x:v>
      </x:c>
      <x:c r="D397" s="12" t="n">
        <x:f>C397/'客户小时分布'!$C$8</x:f>
        <x:v>0</x:v>
      </x:c>
      <x:c r="E397" s="12" t="n">
        <x:f>C397/'客户小时分布'!$C$10</x:f>
        <x:v>0</x:v>
      </x:c>
      <x:c r="F397" s="8" t="n">
        <x:f>B397*C397</x:f>
        <x:v>0</x:v>
      </x:c>
      <x:c r="G397" s="12" t="n">
        <x:f>F397/'客户小时分布'!$C$6</x:f>
        <x:v>0</x:v>
      </x:c>
      <x:c r="H397" s="12" t="n">
        <x:f>SUM($C$8:C397)/'客户小时分布'!$C$8</x:f>
        <x:v>0.9999443582159487</x:v>
      </x:c>
    </x:row>
    <x:row r="398" ht="22" customHeight="1">
      <x:c r="A398" s="2"/>
      <x:c r="B398" s="8" t="n">
        <x:v>391</x:v>
      </x:c>
      <x:c r="C398" s="8" t="n">
        <x:v>0</x:v>
      </x:c>
      <x:c r="D398" s="12" t="n">
        <x:f>C398/'客户小时分布'!$C$8</x:f>
        <x:v>0</x:v>
      </x:c>
      <x:c r="E398" s="12" t="n">
        <x:f>C398/'客户小时分布'!$C$10</x:f>
        <x:v>0</x:v>
      </x:c>
      <x:c r="F398" s="8" t="n">
        <x:f>B398*C398</x:f>
        <x:v>0</x:v>
      </x:c>
      <x:c r="G398" s="12" t="n">
        <x:f>F398/'客户小时分布'!$C$6</x:f>
        <x:v>0</x:v>
      </x:c>
      <x:c r="H398" s="12" t="n">
        <x:f>SUM($C$8:C398)/'客户小时分布'!$C$8</x:f>
        <x:v>0.9999443582159487</x:v>
      </x:c>
    </x:row>
    <x:row r="399" ht="22" customHeight="1">
      <x:c r="A399" s="2"/>
      <x:c r="B399" s="8" t="n">
        <x:v>392</x:v>
      </x:c>
      <x:c r="C399" s="8" t="n">
        <x:v>0</x:v>
      </x:c>
      <x:c r="D399" s="12" t="n">
        <x:f>C399/'客户小时分布'!$C$8</x:f>
        <x:v>0</x:v>
      </x:c>
      <x:c r="E399" s="12" t="n">
        <x:f>C399/'客户小时分布'!$C$10</x:f>
        <x:v>0</x:v>
      </x:c>
      <x:c r="F399" s="8" t="n">
        <x:f>B399*C399</x:f>
        <x:v>0</x:v>
      </x:c>
      <x:c r="G399" s="12" t="n">
        <x:f>F399/'客户小时分布'!$C$6</x:f>
        <x:v>0</x:v>
      </x:c>
      <x:c r="H399" s="12" t="n">
        <x:f>SUM($C$8:C399)/'客户小时分布'!$C$8</x:f>
        <x:v>0.9999443582159487</x:v>
      </x:c>
    </x:row>
    <x:row r="400" ht="22" customHeight="1">
      <x:c r="A400" s="2"/>
      <x:c r="B400" s="8" t="n">
        <x:v>393</x:v>
      </x:c>
      <x:c r="C400" s="8" t="n">
        <x:v>1</x:v>
      </x:c>
      <x:c r="D400" s="12" t="n">
        <x:f>C400/'客户小时分布'!$C$8</x:f>
        <x:v>0.00000146425747503441</x:v>
      </x:c>
      <x:c r="E400" s="12" t="n">
        <x:f>C400/'客户小时分布'!$C$10</x:f>
        <x:v>1.3440860215053764e-7</x:v>
      </x:c>
      <x:c r="F400" s="8" t="n">
        <x:f>B400*C400</x:f>
        <x:v>393</x:v>
      </x:c>
      <x:c r="G400" s="12" t="n">
        <x:f>F400/'客户小时分布'!$C$6</x:f>
        <x:v>0.00003206355665940491</x:v>
      </x:c>
      <x:c r="H400" s="12" t="n">
        <x:f>SUM($C$8:C400)/'客户小时分布'!$C$8</x:f>
        <x:v>0.9999458224734237</x:v>
      </x:c>
    </x:row>
    <x:row r="401" ht="22" customHeight="1">
      <x:c r="A401" s="2"/>
      <x:c r="B401" s="8" t="n">
        <x:v>394</x:v>
      </x:c>
      <x:c r="C401" s="8" t="n">
        <x:v>2</x:v>
      </x:c>
      <x:c r="D401" s="12" t="n">
        <x:f>C401/'客户小时分布'!$C$8</x:f>
        <x:v>0.00000292851495006882</x:v>
      </x:c>
      <x:c r="E401" s="12" t="n">
        <x:f>C401/'客户小时分布'!$C$10</x:f>
        <x:v>2.688172043010753e-7</x:v>
      </x:c>
      <x:c r="F401" s="8" t="n">
        <x:f>B401*C401</x:f>
        <x:v>788</x:v>
      </x:c>
      <x:c r="G401" s="12" t="n">
        <x:f>F401/'客户小时分布'!$C$6</x:f>
        <x:v>0.00006429028663514267</x:v>
      </x:c>
      <x:c r="H401" s="12" t="n">
        <x:f>SUM($C$8:C401)/'客户小时分布'!$C$8</x:f>
        <x:v>0.9999487509883738</x:v>
      </x:c>
    </x:row>
    <x:row r="402" ht="22" customHeight="1">
      <x:c r="A402" s="2"/>
      <x:c r="B402" s="8" t="n">
        <x:v>395</x:v>
      </x:c>
      <x:c r="C402" s="8" t="n">
        <x:v>1</x:v>
      </x:c>
      <x:c r="D402" s="12" t="n">
        <x:f>C402/'客户小时分布'!$C$8</x:f>
        <x:v>0.00000146425747503441</x:v>
      </x:c>
      <x:c r="E402" s="12" t="n">
        <x:f>C402/'客户小时分布'!$C$10</x:f>
        <x:v>1.3440860215053764e-7</x:v>
      </x:c>
      <x:c r="F402" s="8" t="n">
        <x:f>B402*C402</x:f>
        <x:v>395</x:v>
      </x:c>
      <x:c r="G402" s="12" t="n">
        <x:f>F402/'客户小时分布'!$C$6</x:f>
        <x:v>0.00003222672997573776</x:v>
      </x:c>
      <x:c r="H402" s="12" t="n">
        <x:f>SUM($C$8:C402)/'客户小时分布'!$C$8</x:f>
        <x:v>0.9999502152458488</x:v>
      </x:c>
    </x:row>
    <x:row r="403" ht="22" customHeight="1">
      <x:c r="A403" s="2"/>
      <x:c r="B403" s="8" t="n">
        <x:v>396</x:v>
      </x:c>
      <x:c r="C403" s="8" t="n">
        <x:v>0</x:v>
      </x:c>
      <x:c r="D403" s="12" t="n">
        <x:f>C403/'客户小时分布'!$C$8</x:f>
        <x:v>0</x:v>
      </x:c>
      <x:c r="E403" s="12" t="n">
        <x:f>C403/'客户小时分布'!$C$10</x:f>
        <x:v>0</x:v>
      </x:c>
      <x:c r="F403" s="8" t="n">
        <x:f>B403*C403</x:f>
        <x:v>0</x:v>
      </x:c>
      <x:c r="G403" s="12" t="n">
        <x:f>F403/'客户小时分布'!$C$6</x:f>
        <x:v>0</x:v>
      </x:c>
      <x:c r="H403" s="12" t="n">
        <x:f>SUM($C$8:C403)/'客户小时分布'!$C$8</x:f>
        <x:v>0.9999502152458488</x:v>
      </x:c>
    </x:row>
    <x:row r="404" ht="22" customHeight="1">
      <x:c r="A404" s="2"/>
      <x:c r="B404" s="8" t="n">
        <x:v>397</x:v>
      </x:c>
      <x:c r="C404" s="8" t="n">
        <x:v>1</x:v>
      </x:c>
      <x:c r="D404" s="12" t="n">
        <x:f>C404/'客户小时分布'!$C$8</x:f>
        <x:v>0.00000146425747503441</x:v>
      </x:c>
      <x:c r="E404" s="12" t="n">
        <x:f>C404/'客户小时分布'!$C$10</x:f>
        <x:v>1.3440860215053764e-7</x:v>
      </x:c>
      <x:c r="F404" s="8" t="n">
        <x:f>B404*C404</x:f>
        <x:v>397</x:v>
      </x:c>
      <x:c r="G404" s="12" t="n">
        <x:f>F404/'客户小时分布'!$C$6</x:f>
        <x:v>0.00003238990329207061</x:v>
      </x:c>
      <x:c r="H404" s="12" t="n">
        <x:f>SUM($C$8:C404)/'客户小时分布'!$C$8</x:f>
        <x:v>0.9999516795033239</x:v>
      </x:c>
    </x:row>
    <x:row r="405" ht="22" customHeight="1">
      <x:c r="A405" s="2"/>
      <x:c r="B405" s="8" t="n">
        <x:v>398</x:v>
      </x:c>
      <x:c r="C405" s="8" t="n">
        <x:v>0</x:v>
      </x:c>
      <x:c r="D405" s="12" t="n">
        <x:f>C405/'客户小时分布'!$C$8</x:f>
        <x:v>0</x:v>
      </x:c>
      <x:c r="E405" s="12" t="n">
        <x:f>C405/'客户小时分布'!$C$10</x:f>
        <x:v>0</x:v>
      </x:c>
      <x:c r="F405" s="8" t="n">
        <x:f>B405*C405</x:f>
        <x:v>0</x:v>
      </x:c>
      <x:c r="G405" s="12" t="n">
        <x:f>F405/'客户小时分布'!$C$6</x:f>
        <x:v>0</x:v>
      </x:c>
      <x:c r="H405" s="12" t="n">
        <x:f>SUM($C$8:C405)/'客户小时分布'!$C$8</x:f>
        <x:v>0.9999516795033239</x:v>
      </x:c>
    </x:row>
    <x:row r="406" ht="22" customHeight="1">
      <x:c r="A406" s="2"/>
      <x:c r="B406" s="8" t="n">
        <x:v>399</x:v>
      </x:c>
      <x:c r="C406" s="8" t="n">
        <x:v>0</x:v>
      </x:c>
      <x:c r="D406" s="12" t="n">
        <x:f>C406/'客户小时分布'!$C$8</x:f>
        <x:v>0</x:v>
      </x:c>
      <x:c r="E406" s="12" t="n">
        <x:f>C406/'客户小时分布'!$C$10</x:f>
        <x:v>0</x:v>
      </x:c>
      <x:c r="F406" s="8" t="n">
        <x:f>B406*C406</x:f>
        <x:v>0</x:v>
      </x:c>
      <x:c r="G406" s="12" t="n">
        <x:f>F406/'客户小时分布'!$C$6</x:f>
        <x:v>0</x:v>
      </x:c>
      <x:c r="H406" s="12" t="n">
        <x:f>SUM($C$8:C406)/'客户小时分布'!$C$8</x:f>
        <x:v>0.9999516795033239</x:v>
      </x:c>
    </x:row>
    <x:row r="407" ht="22" customHeight="1">
      <x:c r="A407" s="2"/>
      <x:c r="B407" s="8" t="n">
        <x:v>400</x:v>
      </x:c>
      <x:c r="C407" s="8" t="n">
        <x:v>0</x:v>
      </x:c>
      <x:c r="D407" s="12" t="n">
        <x:f>C407/'客户小时分布'!$C$8</x:f>
        <x:v>0</x:v>
      </x:c>
      <x:c r="E407" s="12" t="n">
        <x:f>C407/'客户小时分布'!$C$10</x:f>
        <x:v>0</x:v>
      </x:c>
      <x:c r="F407" s="8" t="n">
        <x:f>B407*C407</x:f>
        <x:v>0</x:v>
      </x:c>
      <x:c r="G407" s="12" t="n">
        <x:f>F407/'客户小时分布'!$C$6</x:f>
        <x:v>0</x:v>
      </x:c>
      <x:c r="H407" s="12" t="n">
        <x:f>SUM($C$8:C407)/'客户小时分布'!$C$8</x:f>
        <x:v>0.9999516795033239</x:v>
      </x:c>
    </x:row>
    <x:row r="408" ht="22" customHeight="1">
      <x:c r="A408" s="2"/>
      <x:c r="B408" s="8" t="n">
        <x:v>401</x:v>
      </x:c>
      <x:c r="C408" s="8" t="n">
        <x:v>1</x:v>
      </x:c>
      <x:c r="D408" s="12" t="n">
        <x:f>C408/'客户小时分布'!$C$8</x:f>
        <x:v>0.00000146425747503441</x:v>
      </x:c>
      <x:c r="E408" s="12" t="n">
        <x:f>C408/'客户小时分布'!$C$10</x:f>
        <x:v>1.3440860215053764e-7</x:v>
      </x:c>
      <x:c r="F408" s="8" t="n">
        <x:f>B408*C408</x:f>
        <x:v>401</x:v>
      </x:c>
      <x:c r="G408" s="12" t="n">
        <x:f>F408/'客户小时分布'!$C$6</x:f>
        <x:v>0.000032716249924736305</x:v>
      </x:c>
      <x:c r="H408" s="12" t="n">
        <x:f>SUM($C$8:C408)/'客户小时分布'!$C$8</x:f>
        <x:v>0.9999531437607989</x:v>
      </x:c>
    </x:row>
    <x:row r="409" ht="22" customHeight="1">
      <x:c r="A409" s="2"/>
      <x:c r="B409" s="8" t="n">
        <x:v>402</x:v>
      </x:c>
      <x:c r="C409" s="8" t="n">
        <x:v>1</x:v>
      </x:c>
      <x:c r="D409" s="12" t="n">
        <x:f>C409/'客户小时分布'!$C$8</x:f>
        <x:v>0.00000146425747503441</x:v>
      </x:c>
      <x:c r="E409" s="12" t="n">
        <x:f>C409/'客户小时分布'!$C$10</x:f>
        <x:v>1.3440860215053764e-7</x:v>
      </x:c>
      <x:c r="F409" s="8" t="n">
        <x:f>B409*C409</x:f>
        <x:v>402</x:v>
      </x:c>
      <x:c r="G409" s="12" t="n">
        <x:f>F409/'客户小时分布'!$C$6</x:f>
        <x:v>0.000032797836582902736</x:v>
      </x:c>
      <x:c r="H409" s="12" t="n">
        <x:f>SUM($C$8:C409)/'客户小时分布'!$C$8</x:f>
        <x:v>0.999954608018274</x:v>
      </x:c>
    </x:row>
    <x:row r="410" ht="22" customHeight="1">
      <x:c r="A410" s="2"/>
      <x:c r="B410" s="8" t="n">
        <x:v>403</x:v>
      </x:c>
      <x:c r="C410" s="8" t="n">
        <x:v>1</x:v>
      </x:c>
      <x:c r="D410" s="12" t="n">
        <x:f>C410/'客户小时分布'!$C$8</x:f>
        <x:v>0.00000146425747503441</x:v>
      </x:c>
      <x:c r="E410" s="12" t="n">
        <x:f>C410/'客户小时分布'!$C$10</x:f>
        <x:v>1.3440860215053764e-7</x:v>
      </x:c>
      <x:c r="F410" s="8" t="n">
        <x:f>B410*C410</x:f>
        <x:v>403</x:v>
      </x:c>
      <x:c r="G410" s="12" t="n">
        <x:f>F410/'客户小时分布'!$C$6</x:f>
        <x:v>0.00003287942324106916</x:v>
      </x:c>
      <x:c r="H410" s="12" t="n">
        <x:f>SUM($C$8:C410)/'客户小时分布'!$C$8</x:f>
        <x:v>0.999956072275749</x:v>
      </x:c>
    </x:row>
    <x:row r="411" ht="22" customHeight="1">
      <x:c r="A411" s="2"/>
      <x:c r="B411" s="8" t="n">
        <x:v>404</x:v>
      </x:c>
      <x:c r="C411" s="8" t="n">
        <x:v>2</x:v>
      </x:c>
      <x:c r="D411" s="12" t="n">
        <x:f>C411/'客户小时分布'!$C$8</x:f>
        <x:v>0.00000292851495006882</x:v>
      </x:c>
      <x:c r="E411" s="12" t="n">
        <x:f>C411/'客户小时分布'!$C$10</x:f>
        <x:v>2.688172043010753e-7</x:v>
      </x:c>
      <x:c r="F411" s="8" t="n">
        <x:f>B411*C411</x:f>
        <x:v>808</x:v>
      </x:c>
      <x:c r="G411" s="12" t="n">
        <x:f>F411/'客户小时分布'!$C$6</x:f>
        <x:v>0.00006592201979847117</x:v>
      </x:c>
      <x:c r="H411" s="12" t="n">
        <x:f>SUM($C$8:C411)/'客户小时分布'!$C$8</x:f>
        <x:v>0.999959000790699</x:v>
      </x:c>
    </x:row>
    <x:row r="412" ht="22" customHeight="1">
      <x:c r="A412" s="2"/>
      <x:c r="B412" s="8" t="n">
        <x:v>405</x:v>
      </x:c>
      <x:c r="C412" s="8" t="n">
        <x:v>0</x:v>
      </x:c>
      <x:c r="D412" s="12" t="n">
        <x:f>C412/'客户小时分布'!$C$8</x:f>
        <x:v>0</x:v>
      </x:c>
      <x:c r="E412" s="12" t="n">
        <x:f>C412/'客户小时分布'!$C$10</x:f>
        <x:v>0</x:v>
      </x:c>
      <x:c r="F412" s="8" t="n">
        <x:f>B412*C412</x:f>
        <x:v>0</x:v>
      </x:c>
      <x:c r="G412" s="12" t="n">
        <x:f>F412/'客户小时分布'!$C$6</x:f>
        <x:v>0</x:v>
      </x:c>
      <x:c r="H412" s="12" t="n">
        <x:f>SUM($C$8:C412)/'客户小时分布'!$C$8</x:f>
        <x:v>0.999959000790699</x:v>
      </x:c>
    </x:row>
    <x:row r="413" ht="22" customHeight="1">
      <x:c r="A413" s="2"/>
      <x:c r="B413" s="8" t="n">
        <x:v>406</x:v>
      </x:c>
      <x:c r="C413" s="8" t="n">
        <x:v>1</x:v>
      </x:c>
      <x:c r="D413" s="12" t="n">
        <x:f>C413/'客户小时分布'!$C$8</x:f>
        <x:v>0.00000146425747503441</x:v>
      </x:c>
      <x:c r="E413" s="12" t="n">
        <x:f>C413/'客户小时分布'!$C$10</x:f>
        <x:v>1.3440860215053764e-7</x:v>
      </x:c>
      <x:c r="F413" s="8" t="n">
        <x:f>B413*C413</x:f>
        <x:v>406</x:v>
      </x:c>
      <x:c r="G413" s="12" t="n">
        <x:f>F413/'客户小时分布'!$C$6</x:f>
        <x:v>0.00003312418321556843</x:v>
      </x:c>
      <x:c r="H413" s="12" t="n">
        <x:f>SUM($C$8:C413)/'客户小时分布'!$C$8</x:f>
        <x:v>0.999960465048174</x:v>
      </x:c>
    </x:row>
    <x:row r="414" ht="22" customHeight="1">
      <x:c r="A414" s="2"/>
      <x:c r="B414" s="8" t="n">
        <x:v>407</x:v>
      </x:c>
      <x:c r="C414" s="8" t="n">
        <x:v>0</x:v>
      </x:c>
      <x:c r="D414" s="12" t="n">
        <x:f>C414/'客户小时分布'!$C$8</x:f>
        <x:v>0</x:v>
      </x:c>
      <x:c r="E414" s="12" t="n">
        <x:f>C414/'客户小时分布'!$C$10</x:f>
        <x:v>0</x:v>
      </x:c>
      <x:c r="F414" s="8" t="n">
        <x:f>B414*C414</x:f>
        <x:v>0</x:v>
      </x:c>
      <x:c r="G414" s="12" t="n">
        <x:f>F414/'客户小时分布'!$C$6</x:f>
        <x:v>0</x:v>
      </x:c>
      <x:c r="H414" s="12" t="n">
        <x:f>SUM($C$8:C414)/'客户小时分布'!$C$8</x:f>
        <x:v>0.999960465048174</x:v>
      </x:c>
    </x:row>
    <x:row r="415" ht="22" customHeight="1">
      <x:c r="A415" s="2"/>
      <x:c r="B415" s="8" t="n">
        <x:v>408</x:v>
      </x:c>
      <x:c r="C415" s="8" t="n">
        <x:v>0</x:v>
      </x:c>
      <x:c r="D415" s="12" t="n">
        <x:f>C415/'客户小时分布'!$C$8</x:f>
        <x:v>0</x:v>
      </x:c>
      <x:c r="E415" s="12" t="n">
        <x:f>C415/'客户小时分布'!$C$10</x:f>
        <x:v>0</x:v>
      </x:c>
      <x:c r="F415" s="8" t="n">
        <x:f>B415*C415</x:f>
        <x:v>0</x:v>
      </x:c>
      <x:c r="G415" s="12" t="n">
        <x:f>F415/'客户小时分布'!$C$6</x:f>
        <x:v>0</x:v>
      </x:c>
      <x:c r="H415" s="12" t="n">
        <x:f>SUM($C$8:C415)/'客户小时分布'!$C$8</x:f>
        <x:v>0.999960465048174</x:v>
      </x:c>
    </x:row>
    <x:row r="416" ht="22" customHeight="1">
      <x:c r="A416" s="2"/>
      <x:c r="B416" s="8" t="n">
        <x:v>409</x:v>
      </x:c>
      <x:c r="C416" s="8" t="n">
        <x:v>0</x:v>
      </x:c>
      <x:c r="D416" s="12" t="n">
        <x:f>C416/'客户小时分布'!$C$8</x:f>
        <x:v>0</x:v>
      </x:c>
      <x:c r="E416" s="12" t="n">
        <x:f>C416/'客户小时分布'!$C$10</x:f>
        <x:v>0</x:v>
      </x:c>
      <x:c r="F416" s="8" t="n">
        <x:f>B416*C416</x:f>
        <x:v>0</x:v>
      </x:c>
      <x:c r="G416" s="12" t="n">
        <x:f>F416/'客户小时分布'!$C$6</x:f>
        <x:v>0</x:v>
      </x:c>
      <x:c r="H416" s="12" t="n">
        <x:f>SUM($C$8:C416)/'客户小时分布'!$C$8</x:f>
        <x:v>0.999960465048174</x:v>
      </x:c>
    </x:row>
    <x:row r="417" ht="22" customHeight="1">
      <x:c r="A417" s="2"/>
      <x:c r="B417" s="8" t="n">
        <x:v>410</x:v>
      </x:c>
      <x:c r="C417" s="8" t="n">
        <x:v>0</x:v>
      </x:c>
      <x:c r="D417" s="12" t="n">
        <x:f>C417/'客户小时分布'!$C$8</x:f>
        <x:v>0</x:v>
      </x:c>
      <x:c r="E417" s="12" t="n">
        <x:f>C417/'客户小时分布'!$C$10</x:f>
        <x:v>0</x:v>
      </x:c>
      <x:c r="F417" s="8" t="n">
        <x:f>B417*C417</x:f>
        <x:v>0</x:v>
      </x:c>
      <x:c r="G417" s="12" t="n">
        <x:f>F417/'客户小时分布'!$C$6</x:f>
        <x:v>0</x:v>
      </x:c>
      <x:c r="H417" s="12" t="n">
        <x:f>SUM($C$8:C417)/'客户小时分布'!$C$8</x:f>
        <x:v>0.999960465048174</x:v>
      </x:c>
    </x:row>
    <x:row r="418" ht="22" customHeight="1">
      <x:c r="A418" s="2"/>
      <x:c r="B418" s="8" t="n">
        <x:v>411</x:v>
      </x:c>
      <x:c r="C418" s="8" t="n">
        <x:v>0</x:v>
      </x:c>
      <x:c r="D418" s="12" t="n">
        <x:f>C418/'客户小时分布'!$C$8</x:f>
        <x:v>0</x:v>
      </x:c>
      <x:c r="E418" s="12" t="n">
        <x:f>C418/'客户小时分布'!$C$10</x:f>
        <x:v>0</x:v>
      </x:c>
      <x:c r="F418" s="8" t="n">
        <x:f>B418*C418</x:f>
        <x:v>0</x:v>
      </x:c>
      <x:c r="G418" s="12" t="n">
        <x:f>F418/'客户小时分布'!$C$6</x:f>
        <x:v>0</x:v>
      </x:c>
      <x:c r="H418" s="12" t="n">
        <x:f>SUM($C$8:C418)/'客户小时分布'!$C$8</x:f>
        <x:v>0.999960465048174</x:v>
      </x:c>
    </x:row>
    <x:row r="419" ht="22" customHeight="1">
      <x:c r="A419" s="2"/>
      <x:c r="B419" s="8" t="n">
        <x:v>412</x:v>
      </x:c>
      <x:c r="C419" s="8" t="n">
        <x:v>1</x:v>
      </x:c>
      <x:c r="D419" s="12" t="n">
        <x:f>C419/'客户小时分布'!$C$8</x:f>
        <x:v>0.00000146425747503441</x:v>
      </x:c>
      <x:c r="E419" s="12" t="n">
        <x:f>C419/'客户小时分布'!$C$10</x:f>
        <x:v>1.3440860215053764e-7</x:v>
      </x:c>
      <x:c r="F419" s="8" t="n">
        <x:f>B419*C419</x:f>
        <x:v>412</x:v>
      </x:c>
      <x:c r="G419" s="12" t="n">
        <x:f>F419/'客户小时分布'!$C$6</x:f>
        <x:v>0.000033613703164566977</x:v>
      </x:c>
      <x:c r="H419" s="12" t="n">
        <x:f>SUM($C$8:C419)/'客户小时分布'!$C$8</x:f>
        <x:v>0.9999619293056491</x:v>
      </x:c>
    </x:row>
    <x:row r="420" ht="22" customHeight="1">
      <x:c r="A420" s="2"/>
      <x:c r="B420" s="8" t="n">
        <x:v>413</x:v>
      </x:c>
      <x:c r="C420" s="8" t="n">
        <x:v>0</x:v>
      </x:c>
      <x:c r="D420" s="12" t="n">
        <x:f>C420/'客户小时分布'!$C$8</x:f>
        <x:v>0</x:v>
      </x:c>
      <x:c r="E420" s="12" t="n">
        <x:f>C420/'客户小时分布'!$C$10</x:f>
        <x:v>0</x:v>
      </x:c>
      <x:c r="F420" s="8" t="n">
        <x:f>B420*C420</x:f>
        <x:v>0</x:v>
      </x:c>
      <x:c r="G420" s="12" t="n">
        <x:f>F420/'客户小时分布'!$C$6</x:f>
        <x:v>0</x:v>
      </x:c>
      <x:c r="H420" s="12" t="n">
        <x:f>SUM($C$8:C420)/'客户小时分布'!$C$8</x:f>
        <x:v>0.9999619293056491</x:v>
      </x:c>
    </x:row>
    <x:row r="421" ht="22" customHeight="1">
      <x:c r="A421" s="2"/>
      <x:c r="B421" s="8" t="n">
        <x:v>414</x:v>
      </x:c>
      <x:c r="C421" s="8" t="n">
        <x:v>0</x:v>
      </x:c>
      <x:c r="D421" s="12" t="n">
        <x:f>C421/'客户小时分布'!$C$8</x:f>
        <x:v>0</x:v>
      </x:c>
      <x:c r="E421" s="12" t="n">
        <x:f>C421/'客户小时分布'!$C$10</x:f>
        <x:v>0</x:v>
      </x:c>
      <x:c r="F421" s="8" t="n">
        <x:f>B421*C421</x:f>
        <x:v>0</x:v>
      </x:c>
      <x:c r="G421" s="12" t="n">
        <x:f>F421/'客户小时分布'!$C$6</x:f>
        <x:v>0</x:v>
      </x:c>
      <x:c r="H421" s="12" t="n">
        <x:f>SUM($C$8:C421)/'客户小时分布'!$C$8</x:f>
        <x:v>0.9999619293056491</x:v>
      </x:c>
    </x:row>
    <x:row r="422" ht="22" customHeight="1">
      <x:c r="A422" s="2"/>
      <x:c r="B422" s="8" t="n">
        <x:v>415</x:v>
      </x:c>
      <x:c r="C422" s="8" t="n">
        <x:v>0</x:v>
      </x:c>
      <x:c r="D422" s="12" t="n">
        <x:f>C422/'客户小时分布'!$C$8</x:f>
        <x:v>0</x:v>
      </x:c>
      <x:c r="E422" s="12" t="n">
        <x:f>C422/'客户小时分布'!$C$10</x:f>
        <x:v>0</x:v>
      </x:c>
      <x:c r="F422" s="8" t="n">
        <x:f>B422*C422</x:f>
        <x:v>0</x:v>
      </x:c>
      <x:c r="G422" s="12" t="n">
        <x:f>F422/'客户小时分布'!$C$6</x:f>
        <x:v>0</x:v>
      </x:c>
      <x:c r="H422" s="12" t="n">
        <x:f>SUM($C$8:C422)/'客户小时分布'!$C$8</x:f>
        <x:v>0.9999619293056491</x:v>
      </x:c>
    </x:row>
    <x:row r="423" ht="22" customHeight="1">
      <x:c r="A423" s="2"/>
      <x:c r="B423" s="8" t="n">
        <x:v>416</x:v>
      </x:c>
      <x:c r="C423" s="8" t="n">
        <x:v>2</x:v>
      </x:c>
      <x:c r="D423" s="12" t="n">
        <x:f>C423/'客户小时分布'!$C$8</x:f>
        <x:v>0.00000292851495006882</x:v>
      </x:c>
      <x:c r="E423" s="12" t="n">
        <x:f>C423/'客户小时分布'!$C$10</x:f>
        <x:v>2.688172043010753e-7</x:v>
      </x:c>
      <x:c r="F423" s="8" t="n">
        <x:f>B423*C423</x:f>
        <x:v>832</x:v>
      </x:c>
      <x:c r="G423" s="12" t="n">
        <x:f>F423/'客户小时分布'!$C$6</x:f>
        <x:v>0.00006788009959446536</x:v>
      </x:c>
      <x:c r="H423" s="12" t="n">
        <x:f>SUM($C$8:C423)/'客户小时分布'!$C$8</x:f>
        <x:v>0.9999648578205992</x:v>
      </x:c>
    </x:row>
    <x:row r="424" ht="22" customHeight="1">
      <x:c r="A424" s="2"/>
      <x:c r="B424" s="8" t="n">
        <x:v>417</x:v>
      </x:c>
      <x:c r="C424" s="8" t="n">
        <x:v>0</x:v>
      </x:c>
      <x:c r="D424" s="12" t="n">
        <x:f>C424/'客户小时分布'!$C$8</x:f>
        <x:v>0</x:v>
      </x:c>
      <x:c r="E424" s="12" t="n">
        <x:f>C424/'客户小时分布'!$C$10</x:f>
        <x:v>0</x:v>
      </x:c>
      <x:c r="F424" s="8" t="n">
        <x:f>B424*C424</x:f>
        <x:v>0</x:v>
      </x:c>
      <x:c r="G424" s="12" t="n">
        <x:f>F424/'客户小时分布'!$C$6</x:f>
        <x:v>0</x:v>
      </x:c>
      <x:c r="H424" s="12" t="n">
        <x:f>SUM($C$8:C424)/'客户小时分布'!$C$8</x:f>
        <x:v>0.9999648578205992</x:v>
      </x:c>
    </x:row>
    <x:row r="425" ht="22" customHeight="1">
      <x:c r="A425" s="2"/>
      <x:c r="B425" s="8" t="n">
        <x:v>418</x:v>
      </x:c>
      <x:c r="C425" s="8" t="n">
        <x:v>0</x:v>
      </x:c>
      <x:c r="D425" s="12" t="n">
        <x:f>C425/'客户小时分布'!$C$8</x:f>
        <x:v>0</x:v>
      </x:c>
      <x:c r="E425" s="12" t="n">
        <x:f>C425/'客户小时分布'!$C$10</x:f>
        <x:v>0</x:v>
      </x:c>
      <x:c r="F425" s="8" t="n">
        <x:f>B425*C425</x:f>
        <x:v>0</x:v>
      </x:c>
      <x:c r="G425" s="12" t="n">
        <x:f>F425/'客户小时分布'!$C$6</x:f>
        <x:v>0</x:v>
      </x:c>
      <x:c r="H425" s="12" t="n">
        <x:f>SUM($C$8:C425)/'客户小时分布'!$C$8</x:f>
        <x:v>0.9999648578205992</x:v>
      </x:c>
    </x:row>
    <x:row r="426" ht="22" customHeight="1">
      <x:c r="A426" s="2"/>
      <x:c r="B426" s="8" t="n">
        <x:v>419</x:v>
      </x:c>
      <x:c r="C426" s="8" t="n">
        <x:v>0</x:v>
      </x:c>
      <x:c r="D426" s="12" t="n">
        <x:f>C426/'客户小时分布'!$C$8</x:f>
        <x:v>0</x:v>
      </x:c>
      <x:c r="E426" s="12" t="n">
        <x:f>C426/'客户小时分布'!$C$10</x:f>
        <x:v>0</x:v>
      </x:c>
      <x:c r="F426" s="8" t="n">
        <x:f>B426*C426</x:f>
        <x:v>0</x:v>
      </x:c>
      <x:c r="G426" s="12" t="n">
        <x:f>F426/'客户小时分布'!$C$6</x:f>
        <x:v>0</x:v>
      </x:c>
      <x:c r="H426" s="12" t="n">
        <x:f>SUM($C$8:C426)/'客户小时分布'!$C$8</x:f>
        <x:v>0.9999648578205992</x:v>
      </x:c>
    </x:row>
    <x:row r="427" ht="22" customHeight="1">
      <x:c r="A427" s="2"/>
      <x:c r="B427" s="8" t="n">
        <x:v>420</x:v>
      </x:c>
      <x:c r="C427" s="8" t="n">
        <x:v>0</x:v>
      </x:c>
      <x:c r="D427" s="12" t="n">
        <x:f>C427/'客户小时分布'!$C$8</x:f>
        <x:v>0</x:v>
      </x:c>
      <x:c r="E427" s="12" t="n">
        <x:f>C427/'客户小时分布'!$C$10</x:f>
        <x:v>0</x:v>
      </x:c>
      <x:c r="F427" s="8" t="n">
        <x:f>B427*C427</x:f>
        <x:v>0</x:v>
      </x:c>
      <x:c r="G427" s="12" t="n">
        <x:f>F427/'客户小时分布'!$C$6</x:f>
        <x:v>0</x:v>
      </x:c>
      <x:c r="H427" s="12" t="n">
        <x:f>SUM($C$8:C427)/'客户小时分布'!$C$8</x:f>
        <x:v>0.9999648578205992</x:v>
      </x:c>
    </x:row>
    <x:row r="428" ht="22" customHeight="1">
      <x:c r="A428" s="2"/>
      <x:c r="B428" s="8" t="n">
        <x:v>421</x:v>
      </x:c>
      <x:c r="C428" s="8" t="n">
        <x:v>0</x:v>
      </x:c>
      <x:c r="D428" s="12" t="n">
        <x:f>C428/'客户小时分布'!$C$8</x:f>
        <x:v>0</x:v>
      </x:c>
      <x:c r="E428" s="12" t="n">
        <x:f>C428/'客户小时分布'!$C$10</x:f>
        <x:v>0</x:v>
      </x:c>
      <x:c r="F428" s="8" t="n">
        <x:f>B428*C428</x:f>
        <x:v>0</x:v>
      </x:c>
      <x:c r="G428" s="12" t="n">
        <x:f>F428/'客户小时分布'!$C$6</x:f>
        <x:v>0</x:v>
      </x:c>
      <x:c r="H428" s="12" t="n">
        <x:f>SUM($C$8:C428)/'客户小时分布'!$C$8</x:f>
        <x:v>0.9999648578205992</x:v>
      </x:c>
    </x:row>
    <x:row r="429" ht="22" customHeight="1">
      <x:c r="A429" s="2"/>
      <x:c r="B429" s="8" t="n">
        <x:v>422</x:v>
      </x:c>
      <x:c r="C429" s="8" t="n">
        <x:v>0</x:v>
      </x:c>
      <x:c r="D429" s="12" t="n">
        <x:f>C429/'客户小时分布'!$C$8</x:f>
        <x:v>0</x:v>
      </x:c>
      <x:c r="E429" s="12" t="n">
        <x:f>C429/'客户小时分布'!$C$10</x:f>
        <x:v>0</x:v>
      </x:c>
      <x:c r="F429" s="8" t="n">
        <x:f>B429*C429</x:f>
        <x:v>0</x:v>
      </x:c>
      <x:c r="G429" s="12" t="n">
        <x:f>F429/'客户小时分布'!$C$6</x:f>
        <x:v>0</x:v>
      </x:c>
      <x:c r="H429" s="12" t="n">
        <x:f>SUM($C$8:C429)/'客户小时分布'!$C$8</x:f>
        <x:v>0.9999648578205992</x:v>
      </x:c>
    </x:row>
    <x:row r="430" ht="22" customHeight="1">
      <x:c r="A430" s="2"/>
      <x:c r="B430" s="8" t="n">
        <x:v>423</x:v>
      </x:c>
      <x:c r="C430" s="8" t="n">
        <x:v>0</x:v>
      </x:c>
      <x:c r="D430" s="12" t="n">
        <x:f>C430/'客户小时分布'!$C$8</x:f>
        <x:v>0</x:v>
      </x:c>
      <x:c r="E430" s="12" t="n">
        <x:f>C430/'客户小时分布'!$C$10</x:f>
        <x:v>0</x:v>
      </x:c>
      <x:c r="F430" s="8" t="n">
        <x:f>B430*C430</x:f>
        <x:v>0</x:v>
      </x:c>
      <x:c r="G430" s="12" t="n">
        <x:f>F430/'客户小时分布'!$C$6</x:f>
        <x:v>0</x:v>
      </x:c>
      <x:c r="H430" s="12" t="n">
        <x:f>SUM($C$8:C430)/'客户小时分布'!$C$8</x:f>
        <x:v>0.9999648578205992</x:v>
      </x:c>
    </x:row>
    <x:row r="431" ht="22" customHeight="1">
      <x:c r="A431" s="2"/>
      <x:c r="B431" s="8" t="n">
        <x:v>424</x:v>
      </x:c>
      <x:c r="C431" s="8" t="n">
        <x:v>0</x:v>
      </x:c>
      <x:c r="D431" s="12" t="n">
        <x:f>C431/'客户小时分布'!$C$8</x:f>
        <x:v>0</x:v>
      </x:c>
      <x:c r="E431" s="12" t="n">
        <x:f>C431/'客户小时分布'!$C$10</x:f>
        <x:v>0</x:v>
      </x:c>
      <x:c r="F431" s="8" t="n">
        <x:f>B431*C431</x:f>
        <x:v>0</x:v>
      </x:c>
      <x:c r="G431" s="12" t="n">
        <x:f>F431/'客户小时分布'!$C$6</x:f>
        <x:v>0</x:v>
      </x:c>
      <x:c r="H431" s="12" t="n">
        <x:f>SUM($C$8:C431)/'客户小时分布'!$C$8</x:f>
        <x:v>0.9999648578205992</x:v>
      </x:c>
    </x:row>
    <x:row r="432" ht="22" customHeight="1">
      <x:c r="A432" s="2"/>
      <x:c r="B432" s="8" t="n">
        <x:v>425</x:v>
      </x:c>
      <x:c r="C432" s="8" t="n">
        <x:v>0</x:v>
      </x:c>
      <x:c r="D432" s="12" t="n">
        <x:f>C432/'客户小时分布'!$C$8</x:f>
        <x:v>0</x:v>
      </x:c>
      <x:c r="E432" s="12" t="n">
        <x:f>C432/'客户小时分布'!$C$10</x:f>
        <x:v>0</x:v>
      </x:c>
      <x:c r="F432" s="8" t="n">
        <x:f>B432*C432</x:f>
        <x:v>0</x:v>
      </x:c>
      <x:c r="G432" s="12" t="n">
        <x:f>F432/'客户小时分布'!$C$6</x:f>
        <x:v>0</x:v>
      </x:c>
      <x:c r="H432" s="12" t="n">
        <x:f>SUM($C$8:C432)/'客户小时分布'!$C$8</x:f>
        <x:v>0.9999648578205992</x:v>
      </x:c>
    </x:row>
    <x:row r="433" ht="22" customHeight="1">
      <x:c r="A433" s="2"/>
      <x:c r="B433" s="8" t="n">
        <x:v>426</x:v>
      </x:c>
      <x:c r="C433" s="8" t="n">
        <x:v>1</x:v>
      </x:c>
      <x:c r="D433" s="12" t="n">
        <x:f>C433/'客户小时分布'!$C$8</x:f>
        <x:v>0.00000146425747503441</x:v>
      </x:c>
      <x:c r="E433" s="12" t="n">
        <x:f>C433/'客户小时分布'!$C$10</x:f>
        <x:v>1.3440860215053764e-7</x:v>
      </x:c>
      <x:c r="F433" s="8" t="n">
        <x:f>B433*C433</x:f>
        <x:v>426</x:v>
      </x:c>
      <x:c r="G433" s="12" t="n">
        <x:f>F433/'客户小时分布'!$C$6</x:f>
        <x:v>0.00003475591637889693</x:v>
      </x:c>
      <x:c r="H433" s="12" t="n">
        <x:f>SUM($C$8:C433)/'客户小时分布'!$C$8</x:f>
        <x:v>0.9999663220780742</x:v>
      </x:c>
    </x:row>
    <x:row r="434" ht="22" customHeight="1">
      <x:c r="A434" s="2"/>
      <x:c r="B434" s="8" t="n">
        <x:v>427</x:v>
      </x:c>
      <x:c r="C434" s="8" t="n">
        <x:v>0</x:v>
      </x:c>
      <x:c r="D434" s="12" t="n">
        <x:f>C434/'客户小时分布'!$C$8</x:f>
        <x:v>0</x:v>
      </x:c>
      <x:c r="E434" s="12" t="n">
        <x:f>C434/'客户小时分布'!$C$10</x:f>
        <x:v>0</x:v>
      </x:c>
      <x:c r="F434" s="8" t="n">
        <x:f>B434*C434</x:f>
        <x:v>0</x:v>
      </x:c>
      <x:c r="G434" s="12" t="n">
        <x:f>F434/'客户小时分布'!$C$6</x:f>
        <x:v>0</x:v>
      </x:c>
      <x:c r="H434" s="12" t="n">
        <x:f>SUM($C$8:C434)/'客户小时分布'!$C$8</x:f>
        <x:v>0.9999663220780742</x:v>
      </x:c>
    </x:row>
    <x:row r="435" ht="22" customHeight="1">
      <x:c r="A435" s="2"/>
      <x:c r="B435" s="8" t="n">
        <x:v>428</x:v>
      </x:c>
      <x:c r="C435" s="8" t="n">
        <x:v>1</x:v>
      </x:c>
      <x:c r="D435" s="12" t="n">
        <x:f>C435/'客户小时分布'!$C$8</x:f>
        <x:v>0.00000146425747503441</x:v>
      </x:c>
      <x:c r="E435" s="12" t="n">
        <x:f>C435/'客户小时分布'!$C$10</x:f>
        <x:v>1.3440860215053764e-7</x:v>
      </x:c>
      <x:c r="F435" s="8" t="n">
        <x:f>B435*C435</x:f>
        <x:v>428</x:v>
      </x:c>
      <x:c r="G435" s="12" t="n">
        <x:f>F435/'客户小时分布'!$C$6</x:f>
        <x:v>0.000034919089695229775</x:v>
      </x:c>
      <x:c r="H435" s="12" t="n">
        <x:f>SUM($C$8:C435)/'客户小时分布'!$C$8</x:f>
        <x:v>0.9999677863355493</x:v>
      </x:c>
    </x:row>
    <x:row r="436" ht="22" customHeight="1">
      <x:c r="A436" s="2"/>
      <x:c r="B436" s="8" t="n">
        <x:v>429</x:v>
      </x:c>
      <x:c r="C436" s="8" t="n">
        <x:v>1</x:v>
      </x:c>
      <x:c r="D436" s="12" t="n">
        <x:f>C436/'客户小时分布'!$C$8</x:f>
        <x:v>0.00000146425747503441</x:v>
      </x:c>
      <x:c r="E436" s="12" t="n">
        <x:f>C436/'客户小时分布'!$C$10</x:f>
        <x:v>1.3440860215053764e-7</x:v>
      </x:c>
      <x:c r="F436" s="8" t="n">
        <x:f>B436*C436</x:f>
        <x:v>429</x:v>
      </x:c>
      <x:c r="G436" s="12" t="n">
        <x:f>F436/'客户小时分布'!$C$6</x:f>
        <x:v>0.0000350006763533962</x:v>
      </x:c>
      <x:c r="H436" s="12" t="n">
        <x:f>SUM($C$8:C436)/'客户小时分布'!$C$8</x:f>
        <x:v>0.9999692505930243</x:v>
      </x:c>
    </x:row>
    <x:row r="437" ht="22" customHeight="1">
      <x:c r="A437" s="2"/>
      <x:c r="B437" s="8" t="n">
        <x:v>430</x:v>
      </x:c>
      <x:c r="C437" s="8" t="n">
        <x:v>0</x:v>
      </x:c>
      <x:c r="D437" s="12" t="n">
        <x:f>C437/'客户小时分布'!$C$8</x:f>
        <x:v>0</x:v>
      </x:c>
      <x:c r="E437" s="12" t="n">
        <x:f>C437/'客户小时分布'!$C$10</x:f>
        <x:v>0</x:v>
      </x:c>
      <x:c r="F437" s="8" t="n">
        <x:f>B437*C437</x:f>
        <x:v>0</x:v>
      </x:c>
      <x:c r="G437" s="12" t="n">
        <x:f>F437/'客户小时分布'!$C$6</x:f>
        <x:v>0</x:v>
      </x:c>
      <x:c r="H437" s="12" t="n">
        <x:f>SUM($C$8:C437)/'客户小时分布'!$C$8</x:f>
        <x:v>0.9999692505930243</x:v>
      </x:c>
    </x:row>
    <x:row r="438" ht="22" customHeight="1">
      <x:c r="A438" s="2"/>
      <x:c r="B438" s="8" t="n">
        <x:v>431</x:v>
      </x:c>
      <x:c r="C438" s="8" t="n">
        <x:v>0</x:v>
      </x:c>
      <x:c r="D438" s="12" t="n">
        <x:f>C438/'客户小时分布'!$C$8</x:f>
        <x:v>0</x:v>
      </x:c>
      <x:c r="E438" s="12" t="n">
        <x:f>C438/'客户小时分布'!$C$10</x:f>
        <x:v>0</x:v>
      </x:c>
      <x:c r="F438" s="8" t="n">
        <x:f>B438*C438</x:f>
        <x:v>0</x:v>
      </x:c>
      <x:c r="G438" s="12" t="n">
        <x:f>F438/'客户小时分布'!$C$6</x:f>
        <x:v>0</x:v>
      </x:c>
      <x:c r="H438" s="12" t="n">
        <x:f>SUM($C$8:C438)/'客户小时分布'!$C$8</x:f>
        <x:v>0.9999692505930243</x:v>
      </x:c>
    </x:row>
    <x:row r="439" ht="22" customHeight="1">
      <x:c r="A439" s="2"/>
      <x:c r="B439" s="8" t="n">
        <x:v>432</x:v>
      </x:c>
      <x:c r="C439" s="8" t="n">
        <x:v>1</x:v>
      </x:c>
      <x:c r="D439" s="12" t="n">
        <x:f>C439/'客户小时分布'!$C$8</x:f>
        <x:v>0.00000146425747503441</x:v>
      </x:c>
      <x:c r="E439" s="12" t="n">
        <x:f>C439/'客户小时分布'!$C$10</x:f>
        <x:v>1.3440860215053764e-7</x:v>
      </x:c>
      <x:c r="F439" s="8" t="n">
        <x:f>B439*C439</x:f>
        <x:v>432</x:v>
      </x:c>
      <x:c r="G439" s="12" t="n">
        <x:f>F439/'客户小时分布'!$C$6</x:f>
        <x:v>0.00003524543632789547</x:v>
      </x:c>
      <x:c r="H439" s="12" t="n">
        <x:f>SUM($C$8:C439)/'客户小时分布'!$C$8</x:f>
        <x:v>0.9999707148504993</x:v>
      </x:c>
    </x:row>
    <x:row r="440" ht="22" customHeight="1">
      <x:c r="A440" s="2"/>
      <x:c r="B440" s="8" t="n">
        <x:v>433</x:v>
      </x:c>
      <x:c r="C440" s="8" t="n">
        <x:v>0</x:v>
      </x:c>
      <x:c r="D440" s="12" t="n">
        <x:f>C440/'客户小时分布'!$C$8</x:f>
        <x:v>0</x:v>
      </x:c>
      <x:c r="E440" s="12" t="n">
        <x:f>C440/'客户小时分布'!$C$10</x:f>
        <x:v>0</x:v>
      </x:c>
      <x:c r="F440" s="8" t="n">
        <x:f>B440*C440</x:f>
        <x:v>0</x:v>
      </x:c>
      <x:c r="G440" s="12" t="n">
        <x:f>F440/'客户小时分布'!$C$6</x:f>
        <x:v>0</x:v>
      </x:c>
      <x:c r="H440" s="12" t="n">
        <x:f>SUM($C$8:C440)/'客户小时分布'!$C$8</x:f>
        <x:v>0.9999707148504993</x:v>
      </x:c>
    </x:row>
    <x:row r="441" ht="22" customHeight="1">
      <x:c r="A441" s="2"/>
      <x:c r="B441" s="8" t="n">
        <x:v>434</x:v>
      </x:c>
      <x:c r="C441" s="8" t="n">
        <x:v>0</x:v>
      </x:c>
      <x:c r="D441" s="12" t="n">
        <x:f>C441/'客户小时分布'!$C$8</x:f>
        <x:v>0</x:v>
      </x:c>
      <x:c r="E441" s="12" t="n">
        <x:f>C441/'客户小时分布'!$C$10</x:f>
        <x:v>0</x:v>
      </x:c>
      <x:c r="F441" s="8" t="n">
        <x:f>B441*C441</x:f>
        <x:v>0</x:v>
      </x:c>
      <x:c r="G441" s="12" t="n">
        <x:f>F441/'客户小时分布'!$C$6</x:f>
        <x:v>0</x:v>
      </x:c>
      <x:c r="H441" s="12" t="n">
        <x:f>SUM($C$8:C441)/'客户小时分布'!$C$8</x:f>
        <x:v>0.9999707148504993</x:v>
      </x:c>
    </x:row>
    <x:row r="442" ht="22" customHeight="1">
      <x:c r="A442" s="2"/>
      <x:c r="B442" s="8" t="n">
        <x:v>435</x:v>
      </x:c>
      <x:c r="C442" s="8" t="n">
        <x:v>0</x:v>
      </x:c>
      <x:c r="D442" s="12" t="n">
        <x:f>C442/'客户小时分布'!$C$8</x:f>
        <x:v>0</x:v>
      </x:c>
      <x:c r="E442" s="12" t="n">
        <x:f>C442/'客户小时分布'!$C$10</x:f>
        <x:v>0</x:v>
      </x:c>
      <x:c r="F442" s="8" t="n">
        <x:f>B442*C442</x:f>
        <x:v>0</x:v>
      </x:c>
      <x:c r="G442" s="12" t="n">
        <x:f>F442/'客户小时分布'!$C$6</x:f>
        <x:v>0</x:v>
      </x:c>
      <x:c r="H442" s="12" t="n">
        <x:f>SUM($C$8:C442)/'客户小时分布'!$C$8</x:f>
        <x:v>0.9999707148504993</x:v>
      </x:c>
    </x:row>
    <x:row r="443" ht="22" customHeight="1">
      <x:c r="A443" s="2"/>
      <x:c r="B443" s="8" t="n">
        <x:v>436</x:v>
      </x:c>
      <x:c r="C443" s="8" t="n">
        <x:v>0</x:v>
      </x:c>
      <x:c r="D443" s="12" t="n">
        <x:f>C443/'客户小时分布'!$C$8</x:f>
        <x:v>0</x:v>
      </x:c>
      <x:c r="E443" s="12" t="n">
        <x:f>C443/'客户小时分布'!$C$10</x:f>
        <x:v>0</x:v>
      </x:c>
      <x:c r="F443" s="8" t="n">
        <x:f>B443*C443</x:f>
        <x:v>0</x:v>
      </x:c>
      <x:c r="G443" s="12" t="n">
        <x:f>F443/'客户小时分布'!$C$6</x:f>
        <x:v>0</x:v>
      </x:c>
      <x:c r="H443" s="12" t="n">
        <x:f>SUM($C$8:C443)/'客户小时分布'!$C$8</x:f>
        <x:v>0.9999707148504993</x:v>
      </x:c>
    </x:row>
    <x:row r="444" ht="22" customHeight="1">
      <x:c r="A444" s="2"/>
      <x:c r="B444" s="8" t="n">
        <x:v>437</x:v>
      </x:c>
      <x:c r="C444" s="8" t="n">
        <x:v>0</x:v>
      </x:c>
      <x:c r="D444" s="12" t="n">
        <x:f>C444/'客户小时分布'!$C$8</x:f>
        <x:v>0</x:v>
      </x:c>
      <x:c r="E444" s="12" t="n">
        <x:f>C444/'客户小时分布'!$C$10</x:f>
        <x:v>0</x:v>
      </x:c>
      <x:c r="F444" s="8" t="n">
        <x:f>B444*C444</x:f>
        <x:v>0</x:v>
      </x:c>
      <x:c r="G444" s="12" t="n">
        <x:f>F444/'客户小时分布'!$C$6</x:f>
        <x:v>0</x:v>
      </x:c>
      <x:c r="H444" s="12" t="n">
        <x:f>SUM($C$8:C444)/'客户小时分布'!$C$8</x:f>
        <x:v>0.9999707148504993</x:v>
      </x:c>
    </x:row>
    <x:row r="445" ht="22" customHeight="1">
      <x:c r="A445" s="2"/>
      <x:c r="B445" s="8" t="n">
        <x:v>438</x:v>
      </x:c>
      <x:c r="C445" s="8" t="n">
        <x:v>1</x:v>
      </x:c>
      <x:c r="D445" s="12" t="n">
        <x:f>C445/'客户小时分布'!$C$8</x:f>
        <x:v>0.00000146425747503441</x:v>
      </x:c>
      <x:c r="E445" s="12" t="n">
        <x:f>C445/'客户小时分布'!$C$10</x:f>
        <x:v>1.3440860215053764e-7</x:v>
      </x:c>
      <x:c r="F445" s="8" t="n">
        <x:f>B445*C445</x:f>
        <x:v>438</x:v>
      </x:c>
      <x:c r="G445" s="12" t="n">
        <x:f>F445/'客户小时分布'!$C$6</x:f>
        <x:v>0.00003573495627689402</x:v>
      </x:c>
      <x:c r="H445" s="12" t="n">
        <x:f>SUM($C$8:C445)/'客户小时分布'!$C$8</x:f>
        <x:v>0.9999721791079743</x:v>
      </x:c>
    </x:row>
    <x:row r="446" ht="22" customHeight="1">
      <x:c r="A446" s="2"/>
      <x:c r="B446" s="8" t="n">
        <x:v>439</x:v>
      </x:c>
      <x:c r="C446" s="8" t="n">
        <x:v>0</x:v>
      </x:c>
      <x:c r="D446" s="12" t="n">
        <x:f>C446/'客户小时分布'!$C$8</x:f>
        <x:v>0</x:v>
      </x:c>
      <x:c r="E446" s="12" t="n">
        <x:f>C446/'客户小时分布'!$C$10</x:f>
        <x:v>0</x:v>
      </x:c>
      <x:c r="F446" s="8" t="n">
        <x:f>B446*C446</x:f>
        <x:v>0</x:v>
      </x:c>
      <x:c r="G446" s="12" t="n">
        <x:f>F446/'客户小时分布'!$C$6</x:f>
        <x:v>0</x:v>
      </x:c>
      <x:c r="H446" s="12" t="n">
        <x:f>SUM($C$8:C446)/'客户小时分布'!$C$8</x:f>
        <x:v>0.9999721791079743</x:v>
      </x:c>
    </x:row>
    <x:row r="447" ht="22" customHeight="1">
      <x:c r="A447" s="2"/>
      <x:c r="B447" s="8" t="n">
        <x:v>440</x:v>
      </x:c>
      <x:c r="C447" s="8" t="n">
        <x:v>0</x:v>
      </x:c>
      <x:c r="D447" s="12" t="n">
        <x:f>C447/'客户小时分布'!$C$8</x:f>
        <x:v>0</x:v>
      </x:c>
      <x:c r="E447" s="12" t="n">
        <x:f>C447/'客户小时分布'!$C$10</x:f>
        <x:v>0</x:v>
      </x:c>
      <x:c r="F447" s="8" t="n">
        <x:f>B447*C447</x:f>
        <x:v>0</x:v>
      </x:c>
      <x:c r="G447" s="12" t="n">
        <x:f>F447/'客户小时分布'!$C$6</x:f>
        <x:v>0</x:v>
      </x:c>
      <x:c r="H447" s="12" t="n">
        <x:f>SUM($C$8:C447)/'客户小时分布'!$C$8</x:f>
        <x:v>0.9999721791079743</x:v>
      </x:c>
    </x:row>
    <x:row r="448" ht="22" customHeight="1">
      <x:c r="A448" s="2"/>
      <x:c r="B448" s="8" t="n">
        <x:v>441</x:v>
      </x:c>
      <x:c r="C448" s="8" t="n">
        <x:v>0</x:v>
      </x:c>
      <x:c r="D448" s="12" t="n">
        <x:f>C448/'客户小时分布'!$C$8</x:f>
        <x:v>0</x:v>
      </x:c>
      <x:c r="E448" s="12" t="n">
        <x:f>C448/'客户小时分布'!$C$10</x:f>
        <x:v>0</x:v>
      </x:c>
      <x:c r="F448" s="8" t="n">
        <x:f>B448*C448</x:f>
        <x:v>0</x:v>
      </x:c>
      <x:c r="G448" s="12" t="n">
        <x:f>F448/'客户小时分布'!$C$6</x:f>
        <x:v>0</x:v>
      </x:c>
      <x:c r="H448" s="12" t="n">
        <x:f>SUM($C$8:C448)/'客户小时分布'!$C$8</x:f>
        <x:v>0.9999721791079743</x:v>
      </x:c>
    </x:row>
    <x:row r="449" ht="22" customHeight="1">
      <x:c r="A449" s="2"/>
      <x:c r="B449" s="8" t="n">
        <x:v>442</x:v>
      </x:c>
      <x:c r="C449" s="8" t="n">
        <x:v>1</x:v>
      </x:c>
      <x:c r="D449" s="12" t="n">
        <x:f>C449/'客户小时分布'!$C$8</x:f>
        <x:v>0.00000146425747503441</x:v>
      </x:c>
      <x:c r="E449" s="12" t="n">
        <x:f>C449/'客户小时分布'!$C$10</x:f>
        <x:v>1.3440860215053764e-7</x:v>
      </x:c>
      <x:c r="F449" s="8" t="n">
        <x:f>B449*C449</x:f>
        <x:v>442</x:v>
      </x:c>
      <x:c r="G449" s="12" t="n">
        <x:f>F449/'客户小时分布'!$C$6</x:f>
        <x:v>0.00003606130290955972</x:v>
      </x:c>
      <x:c r="H449" s="12" t="n">
        <x:f>SUM($C$8:C449)/'客户小时分布'!$C$8</x:f>
        <x:v>0.9999736433654494</x:v>
      </x:c>
    </x:row>
    <x:row r="450" ht="22" customHeight="1">
      <x:c r="A450" s="2"/>
      <x:c r="B450" s="8" t="n">
        <x:v>443</x:v>
      </x:c>
      <x:c r="C450" s="8" t="n">
        <x:v>0</x:v>
      </x:c>
      <x:c r="D450" s="12" t="n">
        <x:f>C450/'客户小时分布'!$C$8</x:f>
        <x:v>0</x:v>
      </x:c>
      <x:c r="E450" s="12" t="n">
        <x:f>C450/'客户小时分布'!$C$10</x:f>
        <x:v>0</x:v>
      </x:c>
      <x:c r="F450" s="8" t="n">
        <x:f>B450*C450</x:f>
        <x:v>0</x:v>
      </x:c>
      <x:c r="G450" s="12" t="n">
        <x:f>F450/'客户小时分布'!$C$6</x:f>
        <x:v>0</x:v>
      </x:c>
      <x:c r="H450" s="12" t="n">
        <x:f>SUM($C$8:C450)/'客户小时分布'!$C$8</x:f>
        <x:v>0.9999736433654494</x:v>
      </x:c>
    </x:row>
    <x:row r="451" ht="22" customHeight="1">
      <x:c r="A451" s="2"/>
      <x:c r="B451" s="8" t="n">
        <x:v>444</x:v>
      </x:c>
      <x:c r="C451" s="8" t="n">
        <x:v>0</x:v>
      </x:c>
      <x:c r="D451" s="12" t="n">
        <x:f>C451/'客户小时分布'!$C$8</x:f>
        <x:v>0</x:v>
      </x:c>
      <x:c r="E451" s="12" t="n">
        <x:f>C451/'客户小时分布'!$C$10</x:f>
        <x:v>0</x:v>
      </x:c>
      <x:c r="F451" s="8" t="n">
        <x:f>B451*C451</x:f>
        <x:v>0</x:v>
      </x:c>
      <x:c r="G451" s="12" t="n">
        <x:f>F451/'客户小时分布'!$C$6</x:f>
        <x:v>0</x:v>
      </x:c>
      <x:c r="H451" s="12" t="n">
        <x:f>SUM($C$8:C451)/'客户小时分布'!$C$8</x:f>
        <x:v>0.9999736433654494</x:v>
      </x:c>
    </x:row>
    <x:row r="452" ht="22" customHeight="1">
      <x:c r="A452" s="2"/>
      <x:c r="B452" s="8" t="n">
        <x:v>445</x:v>
      </x:c>
      <x:c r="C452" s="8" t="n">
        <x:v>0</x:v>
      </x:c>
      <x:c r="D452" s="12" t="n">
        <x:f>C452/'客户小时分布'!$C$8</x:f>
        <x:v>0</x:v>
      </x:c>
      <x:c r="E452" s="12" t="n">
        <x:f>C452/'客户小时分布'!$C$10</x:f>
        <x:v>0</x:v>
      </x:c>
      <x:c r="F452" s="8" t="n">
        <x:f>B452*C452</x:f>
        <x:v>0</x:v>
      </x:c>
      <x:c r="G452" s="12" t="n">
        <x:f>F452/'客户小时分布'!$C$6</x:f>
        <x:v>0</x:v>
      </x:c>
      <x:c r="H452" s="12" t="n">
        <x:f>SUM($C$8:C452)/'客户小时分布'!$C$8</x:f>
        <x:v>0.9999736433654494</x:v>
      </x:c>
    </x:row>
    <x:row r="453" ht="22" customHeight="1">
      <x:c r="A453" s="2"/>
      <x:c r="B453" s="8" t="n">
        <x:v>446</x:v>
      </x:c>
      <x:c r="C453" s="8" t="n">
        <x:v>1</x:v>
      </x:c>
      <x:c r="D453" s="12" t="n">
        <x:f>C453/'客户小时分布'!$C$8</x:f>
        <x:v>0.00000146425747503441</x:v>
      </x:c>
      <x:c r="E453" s="12" t="n">
        <x:f>C453/'客户小时分布'!$C$10</x:f>
        <x:v>1.3440860215053764e-7</x:v>
      </x:c>
      <x:c r="F453" s="8" t="n">
        <x:f>B453*C453</x:f>
        <x:v>446</x:v>
      </x:c>
      <x:c r="G453" s="12" t="n">
        <x:f>F453/'客户小时分布'!$C$6</x:f>
        <x:v>0.00003638764954222542</x:v>
      </x:c>
      <x:c r="H453" s="12" t="n">
        <x:f>SUM($C$8:C453)/'客户小时分布'!$C$8</x:f>
        <x:v>0.9999751076229244</x:v>
      </x:c>
    </x:row>
    <x:row r="454" ht="22" customHeight="1">
      <x:c r="A454" s="2"/>
      <x:c r="B454" s="8" t="n">
        <x:v>447</x:v>
      </x:c>
      <x:c r="C454" s="8" t="n">
        <x:v>0</x:v>
      </x:c>
      <x:c r="D454" s="12" t="n">
        <x:f>C454/'客户小时分布'!$C$8</x:f>
        <x:v>0</x:v>
      </x:c>
      <x:c r="E454" s="12" t="n">
        <x:f>C454/'客户小时分布'!$C$10</x:f>
        <x:v>0</x:v>
      </x:c>
      <x:c r="F454" s="8" t="n">
        <x:f>B454*C454</x:f>
        <x:v>0</x:v>
      </x:c>
      <x:c r="G454" s="12" t="n">
        <x:f>F454/'客户小时分布'!$C$6</x:f>
        <x:v>0</x:v>
      </x:c>
      <x:c r="H454" s="12" t="n">
        <x:f>SUM($C$8:C454)/'客户小时分布'!$C$8</x:f>
        <x:v>0.9999751076229244</x:v>
      </x:c>
    </x:row>
    <x:row r="455" ht="22" customHeight="1">
      <x:c r="A455" s="2"/>
      <x:c r="B455" s="8" t="n">
        <x:v>448</x:v>
      </x:c>
      <x:c r="C455" s="8" t="n">
        <x:v>0</x:v>
      </x:c>
      <x:c r="D455" s="12" t="n">
        <x:f>C455/'客户小时分布'!$C$8</x:f>
        <x:v>0</x:v>
      </x:c>
      <x:c r="E455" s="12" t="n">
        <x:f>C455/'客户小时分布'!$C$10</x:f>
        <x:v>0</x:v>
      </x:c>
      <x:c r="F455" s="8" t="n">
        <x:f>B455*C455</x:f>
        <x:v>0</x:v>
      </x:c>
      <x:c r="G455" s="12" t="n">
        <x:f>F455/'客户小时分布'!$C$6</x:f>
        <x:v>0</x:v>
      </x:c>
      <x:c r="H455" s="12" t="n">
        <x:f>SUM($C$8:C455)/'客户小时分布'!$C$8</x:f>
        <x:v>0.9999751076229244</x:v>
      </x:c>
    </x:row>
    <x:row r="456" ht="22" customHeight="1">
      <x:c r="A456" s="2"/>
      <x:c r="B456" s="8" t="n">
        <x:v>449</x:v>
      </x:c>
      <x:c r="C456" s="8" t="n">
        <x:v>0</x:v>
      </x:c>
      <x:c r="D456" s="12" t="n">
        <x:f>C456/'客户小时分布'!$C$8</x:f>
        <x:v>0</x:v>
      </x:c>
      <x:c r="E456" s="12" t="n">
        <x:f>C456/'客户小时分布'!$C$10</x:f>
        <x:v>0</x:v>
      </x:c>
      <x:c r="F456" s="8" t="n">
        <x:f>B456*C456</x:f>
        <x:v>0</x:v>
      </x:c>
      <x:c r="G456" s="12" t="n">
        <x:f>F456/'客户小时分布'!$C$6</x:f>
        <x:v>0</x:v>
      </x:c>
      <x:c r="H456" s="12" t="n">
        <x:f>SUM($C$8:C456)/'客户小时分布'!$C$8</x:f>
        <x:v>0.9999751076229244</x:v>
      </x:c>
    </x:row>
    <x:row r="457" ht="22" customHeight="1">
      <x:c r="A457" s="2"/>
      <x:c r="B457" s="8" t="n">
        <x:v>450</x:v>
      </x:c>
      <x:c r="C457" s="8" t="n">
        <x:v>0</x:v>
      </x:c>
      <x:c r="D457" s="12" t="n">
        <x:f>C457/'客户小时分布'!$C$8</x:f>
        <x:v>0</x:v>
      </x:c>
      <x:c r="E457" s="12" t="n">
        <x:f>C457/'客户小时分布'!$C$10</x:f>
        <x:v>0</x:v>
      </x:c>
      <x:c r="F457" s="8" t="n">
        <x:f>B457*C457</x:f>
        <x:v>0</x:v>
      </x:c>
      <x:c r="G457" s="12" t="n">
        <x:f>F457/'客户小时分布'!$C$6</x:f>
        <x:v>0</x:v>
      </x:c>
      <x:c r="H457" s="12" t="n">
        <x:f>SUM($C$8:C457)/'客户小时分布'!$C$8</x:f>
        <x:v>0.9999751076229244</x:v>
      </x:c>
    </x:row>
    <x:row r="458" ht="22" customHeight="1">
      <x:c r="A458" s="2"/>
      <x:c r="B458" s="8" t="n">
        <x:v>451</x:v>
      </x:c>
      <x:c r="C458" s="8" t="n">
        <x:v>0</x:v>
      </x:c>
      <x:c r="D458" s="12" t="n">
        <x:f>C458/'客户小时分布'!$C$8</x:f>
        <x:v>0</x:v>
      </x:c>
      <x:c r="E458" s="12" t="n">
        <x:f>C458/'客户小时分布'!$C$10</x:f>
        <x:v>0</x:v>
      </x:c>
      <x:c r="F458" s="8" t="n">
        <x:f>B458*C458</x:f>
        <x:v>0</x:v>
      </x:c>
      <x:c r="G458" s="12" t="n">
        <x:f>F458/'客户小时分布'!$C$6</x:f>
        <x:v>0</x:v>
      </x:c>
      <x:c r="H458" s="12" t="n">
        <x:f>SUM($C$8:C458)/'客户小时分布'!$C$8</x:f>
        <x:v>0.9999751076229244</x:v>
      </x:c>
    </x:row>
    <x:row r="459" ht="22" customHeight="1">
      <x:c r="A459" s="2"/>
      <x:c r="B459" s="8" t="n">
        <x:v>452</x:v>
      </x:c>
      <x:c r="C459" s="8" t="n">
        <x:v>1</x:v>
      </x:c>
      <x:c r="D459" s="12" t="n">
        <x:f>C459/'客户小时分布'!$C$8</x:f>
        <x:v>0.00000146425747503441</x:v>
      </x:c>
      <x:c r="E459" s="12" t="n">
        <x:f>C459/'客户小时分布'!$C$10</x:f>
        <x:v>1.3440860215053764e-7</x:v>
      </x:c>
      <x:c r="F459" s="8" t="n">
        <x:f>B459*C459</x:f>
        <x:v>452</x:v>
      </x:c>
      <x:c r="G459" s="12" t="n">
        <x:f>F459/'客户小时分布'!$C$6</x:f>
        <x:v>0.000036877169491223966</x:v>
      </x:c>
      <x:c r="H459" s="12" t="n">
        <x:f>SUM($C$8:C459)/'客户小时分布'!$C$8</x:f>
        <x:v>0.9999765718803995</x:v>
      </x:c>
    </x:row>
    <x:row r="460" ht="22" customHeight="1">
      <x:c r="A460" s="2"/>
      <x:c r="B460" s="8" t="n">
        <x:v>453</x:v>
      </x:c>
      <x:c r="C460" s="8" t="n">
        <x:v>0</x:v>
      </x:c>
      <x:c r="D460" s="12" t="n">
        <x:f>C460/'客户小时分布'!$C$8</x:f>
        <x:v>0</x:v>
      </x:c>
      <x:c r="E460" s="12" t="n">
        <x:f>C460/'客户小时分布'!$C$10</x:f>
        <x:v>0</x:v>
      </x:c>
      <x:c r="F460" s="8" t="n">
        <x:f>B460*C460</x:f>
        <x:v>0</x:v>
      </x:c>
      <x:c r="G460" s="12" t="n">
        <x:f>F460/'客户小时分布'!$C$6</x:f>
        <x:v>0</x:v>
      </x:c>
      <x:c r="H460" s="12" t="n">
        <x:f>SUM($C$8:C460)/'客户小时分布'!$C$8</x:f>
        <x:v>0.9999765718803995</x:v>
      </x:c>
    </x:row>
    <x:row r="461" ht="22" customHeight="1">
      <x:c r="A461" s="2"/>
      <x:c r="B461" s="8" t="n">
        <x:v>454</x:v>
      </x:c>
      <x:c r="C461" s="8" t="n">
        <x:v>0</x:v>
      </x:c>
      <x:c r="D461" s="12" t="n">
        <x:f>C461/'客户小时分布'!$C$8</x:f>
        <x:v>0</x:v>
      </x:c>
      <x:c r="E461" s="12" t="n">
        <x:f>C461/'客户小时分布'!$C$10</x:f>
        <x:v>0</x:v>
      </x:c>
      <x:c r="F461" s="8" t="n">
        <x:f>B461*C461</x:f>
        <x:v>0</x:v>
      </x:c>
      <x:c r="G461" s="12" t="n">
        <x:f>F461/'客户小时分布'!$C$6</x:f>
        <x:v>0</x:v>
      </x:c>
      <x:c r="H461" s="12" t="n">
        <x:f>SUM($C$8:C461)/'客户小时分布'!$C$8</x:f>
        <x:v>0.9999765718803995</x:v>
      </x:c>
    </x:row>
    <x:row r="462" ht="22" customHeight="1">
      <x:c r="A462" s="2"/>
      <x:c r="B462" s="8" t="n">
        <x:v>455</x:v>
      </x:c>
      <x:c r="C462" s="8" t="n">
        <x:v>0</x:v>
      </x:c>
      <x:c r="D462" s="12" t="n">
        <x:f>C462/'客户小时分布'!$C$8</x:f>
        <x:v>0</x:v>
      </x:c>
      <x:c r="E462" s="12" t="n">
        <x:f>C462/'客户小时分布'!$C$10</x:f>
        <x:v>0</x:v>
      </x:c>
      <x:c r="F462" s="8" t="n">
        <x:f>B462*C462</x:f>
        <x:v>0</x:v>
      </x:c>
      <x:c r="G462" s="12" t="n">
        <x:f>F462/'客户小时分布'!$C$6</x:f>
        <x:v>0</x:v>
      </x:c>
      <x:c r="H462" s="12" t="n">
        <x:f>SUM($C$8:C462)/'客户小时分布'!$C$8</x:f>
        <x:v>0.9999765718803995</x:v>
      </x:c>
    </x:row>
    <x:row r="463" ht="22" customHeight="1">
      <x:c r="A463" s="2"/>
      <x:c r="B463" s="8" t="n">
        <x:v>456</x:v>
      </x:c>
      <x:c r="C463" s="8" t="n">
        <x:v>1</x:v>
      </x:c>
      <x:c r="D463" s="12" t="n">
        <x:f>C463/'客户小时分布'!$C$8</x:f>
        <x:v>0.00000146425747503441</x:v>
      </x:c>
      <x:c r="E463" s="12" t="n">
        <x:f>C463/'客户小时分布'!$C$10</x:f>
        <x:v>1.3440860215053764e-7</x:v>
      </x:c>
      <x:c r="F463" s="8" t="n">
        <x:f>B463*C463</x:f>
        <x:v>456</x:v>
      </x:c>
      <x:c r="G463" s="12" t="n">
        <x:f>F463/'客户小时分布'!$C$6</x:f>
        <x:v>0.00003720351612388967</x:v>
      </x:c>
      <x:c r="H463" s="12" t="n">
        <x:f>SUM($C$8:C463)/'客户小时分布'!$C$8</x:f>
        <x:v>0.9999780361378745</x:v>
      </x:c>
    </x:row>
    <x:row r="464" ht="22" customHeight="1">
      <x:c r="A464" s="2"/>
      <x:c r="B464" s="8" t="n">
        <x:v>457</x:v>
      </x:c>
      <x:c r="C464" s="8" t="n">
        <x:v>0</x:v>
      </x:c>
      <x:c r="D464" s="12" t="n">
        <x:f>C464/'客户小时分布'!$C$8</x:f>
        <x:v>0</x:v>
      </x:c>
      <x:c r="E464" s="12" t="n">
        <x:f>C464/'客户小时分布'!$C$10</x:f>
        <x:v>0</x:v>
      </x:c>
      <x:c r="F464" s="8" t="n">
        <x:f>B464*C464</x:f>
        <x:v>0</x:v>
      </x:c>
      <x:c r="G464" s="12" t="n">
        <x:f>F464/'客户小时分布'!$C$6</x:f>
        <x:v>0</x:v>
      </x:c>
      <x:c r="H464" s="12" t="n">
        <x:f>SUM($C$8:C464)/'客户小时分布'!$C$8</x:f>
        <x:v>0.9999780361378745</x:v>
      </x:c>
    </x:row>
    <x:row r="465" ht="22" customHeight="1">
      <x:c r="A465" s="2"/>
      <x:c r="B465" s="8" t="n">
        <x:v>458</x:v>
      </x:c>
      <x:c r="C465" s="8" t="n">
        <x:v>0</x:v>
      </x:c>
      <x:c r="D465" s="12" t="n">
        <x:f>C465/'客户小时分布'!$C$8</x:f>
        <x:v>0</x:v>
      </x:c>
      <x:c r="E465" s="12" t="n">
        <x:f>C465/'客户小时分布'!$C$10</x:f>
        <x:v>0</x:v>
      </x:c>
      <x:c r="F465" s="8" t="n">
        <x:f>B465*C465</x:f>
        <x:v>0</x:v>
      </x:c>
      <x:c r="G465" s="12" t="n">
        <x:f>F465/'客户小时分布'!$C$6</x:f>
        <x:v>0</x:v>
      </x:c>
      <x:c r="H465" s="12" t="n">
        <x:f>SUM($C$8:C465)/'客户小时分布'!$C$8</x:f>
        <x:v>0.9999780361378745</x:v>
      </x:c>
    </x:row>
    <x:row r="466" ht="22" customHeight="1">
      <x:c r="A466" s="2"/>
      <x:c r="B466" s="8" t="n">
        <x:v>459</x:v>
      </x:c>
      <x:c r="C466" s="8" t="n">
        <x:v>0</x:v>
      </x:c>
      <x:c r="D466" s="12" t="n">
        <x:f>C466/'客户小时分布'!$C$8</x:f>
        <x:v>0</x:v>
      </x:c>
      <x:c r="E466" s="12" t="n">
        <x:f>C466/'客户小时分布'!$C$10</x:f>
        <x:v>0</x:v>
      </x:c>
      <x:c r="F466" s="8" t="n">
        <x:f>B466*C466</x:f>
        <x:v>0</x:v>
      </x:c>
      <x:c r="G466" s="12" t="n">
        <x:f>F466/'客户小时分布'!$C$6</x:f>
        <x:v>0</x:v>
      </x:c>
      <x:c r="H466" s="12" t="n">
        <x:f>SUM($C$8:C466)/'客户小时分布'!$C$8</x:f>
        <x:v>0.9999780361378745</x:v>
      </x:c>
    </x:row>
    <x:row r="467" ht="22" customHeight="1">
      <x:c r="A467" s="2"/>
      <x:c r="B467" s="8" t="n">
        <x:v>460</x:v>
      </x:c>
      <x:c r="C467" s="8" t="n">
        <x:v>0</x:v>
      </x:c>
      <x:c r="D467" s="12" t="n">
        <x:f>C467/'客户小时分布'!$C$8</x:f>
        <x:v>0</x:v>
      </x:c>
      <x:c r="E467" s="12" t="n">
        <x:f>C467/'客户小时分布'!$C$10</x:f>
        <x:v>0</x:v>
      </x:c>
      <x:c r="F467" s="8" t="n">
        <x:f>B467*C467</x:f>
        <x:v>0</x:v>
      </x:c>
      <x:c r="G467" s="12" t="n">
        <x:f>F467/'客户小时分布'!$C$6</x:f>
        <x:v>0</x:v>
      </x:c>
      <x:c r="H467" s="12" t="n">
        <x:f>SUM($C$8:C467)/'客户小时分布'!$C$8</x:f>
        <x:v>0.9999780361378745</x:v>
      </x:c>
    </x:row>
    <x:row r="468" ht="22" customHeight="1">
      <x:c r="A468" s="2"/>
      <x:c r="B468" s="8" t="n">
        <x:v>461</x:v>
      </x:c>
      <x:c r="C468" s="8" t="n">
        <x:v>0</x:v>
      </x:c>
      <x:c r="D468" s="12" t="n">
        <x:f>C468/'客户小时分布'!$C$8</x:f>
        <x:v>0</x:v>
      </x:c>
      <x:c r="E468" s="12" t="n">
        <x:f>C468/'客户小时分布'!$C$10</x:f>
        <x:v>0</x:v>
      </x:c>
      <x:c r="F468" s="8" t="n">
        <x:f>B468*C468</x:f>
        <x:v>0</x:v>
      </x:c>
      <x:c r="G468" s="12" t="n">
        <x:f>F468/'客户小时分布'!$C$6</x:f>
        <x:v>0</x:v>
      </x:c>
      <x:c r="H468" s="12" t="n">
        <x:f>SUM($C$8:C468)/'客户小时分布'!$C$8</x:f>
        <x:v>0.9999780361378745</x:v>
      </x:c>
    </x:row>
    <x:row r="469" ht="22" customHeight="1">
      <x:c r="A469" s="2"/>
      <x:c r="B469" s="8" t="n">
        <x:v>462</x:v>
      </x:c>
      <x:c r="C469" s="8" t="n">
        <x:v>0</x:v>
      </x:c>
      <x:c r="D469" s="12" t="n">
        <x:f>C469/'客户小时分布'!$C$8</x:f>
        <x:v>0</x:v>
      </x:c>
      <x:c r="E469" s="12" t="n">
        <x:f>C469/'客户小时分布'!$C$10</x:f>
        <x:v>0</x:v>
      </x:c>
      <x:c r="F469" s="8" t="n">
        <x:f>B469*C469</x:f>
        <x:v>0</x:v>
      </x:c>
      <x:c r="G469" s="12" t="n">
        <x:f>F469/'客户小时分布'!$C$6</x:f>
        <x:v>0</x:v>
      </x:c>
      <x:c r="H469" s="12" t="n">
        <x:f>SUM($C$8:C469)/'客户小时分布'!$C$8</x:f>
        <x:v>0.9999780361378745</x:v>
      </x:c>
    </x:row>
    <x:row r="470" ht="22" customHeight="1">
      <x:c r="A470" s="2"/>
      <x:c r="B470" s="8" t="n">
        <x:v>463</x:v>
      </x:c>
      <x:c r="C470" s="8" t="n">
        <x:v>0</x:v>
      </x:c>
      <x:c r="D470" s="12" t="n">
        <x:f>C470/'客户小时分布'!$C$8</x:f>
        <x:v>0</x:v>
      </x:c>
      <x:c r="E470" s="12" t="n">
        <x:f>C470/'客户小时分布'!$C$10</x:f>
        <x:v>0</x:v>
      </x:c>
      <x:c r="F470" s="8" t="n">
        <x:f>B470*C470</x:f>
        <x:v>0</x:v>
      </x:c>
      <x:c r="G470" s="12" t="n">
        <x:f>F470/'客户小时分布'!$C$6</x:f>
        <x:v>0</x:v>
      </x:c>
      <x:c r="H470" s="12" t="n">
        <x:f>SUM($C$8:C470)/'客户小时分布'!$C$8</x:f>
        <x:v>0.9999780361378745</x:v>
      </x:c>
    </x:row>
    <x:row r="471" ht="22" customHeight="1">
      <x:c r="A471" s="2"/>
      <x:c r="B471" s="8" t="n">
        <x:v>464</x:v>
      </x:c>
      <x:c r="C471" s="8" t="n">
        <x:v>0</x:v>
      </x:c>
      <x:c r="D471" s="12" t="n">
        <x:f>C471/'客户小时分布'!$C$8</x:f>
        <x:v>0</x:v>
      </x:c>
      <x:c r="E471" s="12" t="n">
        <x:f>C471/'客户小时分布'!$C$10</x:f>
        <x:v>0</x:v>
      </x:c>
      <x:c r="F471" s="8" t="n">
        <x:f>B471*C471</x:f>
        <x:v>0</x:v>
      </x:c>
      <x:c r="G471" s="12" t="n">
        <x:f>F471/'客户小时分布'!$C$6</x:f>
        <x:v>0</x:v>
      </x:c>
      <x:c r="H471" s="12" t="n">
        <x:f>SUM($C$8:C471)/'客户小时分布'!$C$8</x:f>
        <x:v>0.9999780361378745</x:v>
      </x:c>
    </x:row>
    <x:row r="472" ht="22" customHeight="1">
      <x:c r="A472" s="2"/>
      <x:c r="B472" s="8" t="n">
        <x:v>465</x:v>
      </x:c>
      <x:c r="C472" s="8" t="n">
        <x:v>0</x:v>
      </x:c>
      <x:c r="D472" s="12" t="n">
        <x:f>C472/'客户小时分布'!$C$8</x:f>
        <x:v>0</x:v>
      </x:c>
      <x:c r="E472" s="12" t="n">
        <x:f>C472/'客户小时分布'!$C$10</x:f>
        <x:v>0</x:v>
      </x:c>
      <x:c r="F472" s="8" t="n">
        <x:f>B472*C472</x:f>
        <x:v>0</x:v>
      </x:c>
      <x:c r="G472" s="12" t="n">
        <x:f>F472/'客户小时分布'!$C$6</x:f>
        <x:v>0</x:v>
      </x:c>
      <x:c r="H472" s="12" t="n">
        <x:f>SUM($C$8:C472)/'客户小时分布'!$C$8</x:f>
        <x:v>0.9999780361378745</x:v>
      </x:c>
    </x:row>
    <x:row r="473" ht="22" customHeight="1">
      <x:c r="A473" s="2"/>
      <x:c r="B473" s="8" t="n">
        <x:v>466</x:v>
      </x:c>
      <x:c r="C473" s="8" t="n">
        <x:v>0</x:v>
      </x:c>
      <x:c r="D473" s="12" t="n">
        <x:f>C473/'客户小时分布'!$C$8</x:f>
        <x:v>0</x:v>
      </x:c>
      <x:c r="E473" s="12" t="n">
        <x:f>C473/'客户小时分布'!$C$10</x:f>
        <x:v>0</x:v>
      </x:c>
      <x:c r="F473" s="8" t="n">
        <x:f>B473*C473</x:f>
        <x:v>0</x:v>
      </x:c>
      <x:c r="G473" s="12" t="n">
        <x:f>F473/'客户小时分布'!$C$6</x:f>
        <x:v>0</x:v>
      </x:c>
      <x:c r="H473" s="12" t="n">
        <x:f>SUM($C$8:C473)/'客户小时分布'!$C$8</x:f>
        <x:v>0.9999780361378745</x:v>
      </x:c>
    </x:row>
    <x:row r="474" ht="22" customHeight="1">
      <x:c r="A474" s="2"/>
      <x:c r="B474" s="8" t="n">
        <x:v>467</x:v>
      </x:c>
      <x:c r="C474" s="8" t="n">
        <x:v>0</x:v>
      </x:c>
      <x:c r="D474" s="12" t="n">
        <x:f>C474/'客户小时分布'!$C$8</x:f>
        <x:v>0</x:v>
      </x:c>
      <x:c r="E474" s="12" t="n">
        <x:f>C474/'客户小时分布'!$C$10</x:f>
        <x:v>0</x:v>
      </x:c>
      <x:c r="F474" s="8" t="n">
        <x:f>B474*C474</x:f>
        <x:v>0</x:v>
      </x:c>
      <x:c r="G474" s="12" t="n">
        <x:f>F474/'客户小时分布'!$C$6</x:f>
        <x:v>0</x:v>
      </x:c>
      <x:c r="H474" s="12" t="n">
        <x:f>SUM($C$8:C474)/'客户小时分布'!$C$8</x:f>
        <x:v>0.9999780361378745</x:v>
      </x:c>
    </x:row>
    <x:row r="475" ht="22" customHeight="1">
      <x:c r="A475" s="2"/>
      <x:c r="B475" s="8" t="n">
        <x:v>468</x:v>
      </x:c>
      <x:c r="C475" s="8" t="n">
        <x:v>0</x:v>
      </x:c>
      <x:c r="D475" s="12" t="n">
        <x:f>C475/'客户小时分布'!$C$8</x:f>
        <x:v>0</x:v>
      </x:c>
      <x:c r="E475" s="12" t="n">
        <x:f>C475/'客户小时分布'!$C$10</x:f>
        <x:v>0</x:v>
      </x:c>
      <x:c r="F475" s="8" t="n">
        <x:f>B475*C475</x:f>
        <x:v>0</x:v>
      </x:c>
      <x:c r="G475" s="12" t="n">
        <x:f>F475/'客户小时分布'!$C$6</x:f>
        <x:v>0</x:v>
      </x:c>
      <x:c r="H475" s="12" t="n">
        <x:f>SUM($C$8:C475)/'客户小时分布'!$C$8</x:f>
        <x:v>0.9999780361378745</x:v>
      </x:c>
    </x:row>
    <x:row r="476" ht="22" customHeight="1">
      <x:c r="A476" s="2"/>
      <x:c r="B476" s="8" t="n">
        <x:v>469</x:v>
      </x:c>
      <x:c r="C476" s="8" t="n">
        <x:v>0</x:v>
      </x:c>
      <x:c r="D476" s="12" t="n">
        <x:f>C476/'客户小时分布'!$C$8</x:f>
        <x:v>0</x:v>
      </x:c>
      <x:c r="E476" s="12" t="n">
        <x:f>C476/'客户小时分布'!$C$10</x:f>
        <x:v>0</x:v>
      </x:c>
      <x:c r="F476" s="8" t="n">
        <x:f>B476*C476</x:f>
        <x:v>0</x:v>
      </x:c>
      <x:c r="G476" s="12" t="n">
        <x:f>F476/'客户小时分布'!$C$6</x:f>
        <x:v>0</x:v>
      </x:c>
      <x:c r="H476" s="12" t="n">
        <x:f>SUM($C$8:C476)/'客户小时分布'!$C$8</x:f>
        <x:v>0.9999780361378745</x:v>
      </x:c>
    </x:row>
    <x:row r="477" ht="22" customHeight="1">
      <x:c r="A477" s="2"/>
      <x:c r="B477" s="8" t="n">
        <x:v>470</x:v>
      </x:c>
      <x:c r="C477" s="8" t="n">
        <x:v>0</x:v>
      </x:c>
      <x:c r="D477" s="12" t="n">
        <x:f>C477/'客户小时分布'!$C$8</x:f>
        <x:v>0</x:v>
      </x:c>
      <x:c r="E477" s="12" t="n">
        <x:f>C477/'客户小时分布'!$C$10</x:f>
        <x:v>0</x:v>
      </x:c>
      <x:c r="F477" s="8" t="n">
        <x:f>B477*C477</x:f>
        <x:v>0</x:v>
      </x:c>
      <x:c r="G477" s="12" t="n">
        <x:f>F477/'客户小时分布'!$C$6</x:f>
        <x:v>0</x:v>
      </x:c>
      <x:c r="H477" s="12" t="n">
        <x:f>SUM($C$8:C477)/'客户小时分布'!$C$8</x:f>
        <x:v>0.9999780361378745</x:v>
      </x:c>
    </x:row>
    <x:row r="478" ht="22" customHeight="1">
      <x:c r="A478" s="2"/>
      <x:c r="B478" s="8" t="n">
        <x:v>471</x:v>
      </x:c>
      <x:c r="C478" s="8" t="n">
        <x:v>0</x:v>
      </x:c>
      <x:c r="D478" s="12" t="n">
        <x:f>C478/'客户小时分布'!$C$8</x:f>
        <x:v>0</x:v>
      </x:c>
      <x:c r="E478" s="12" t="n">
        <x:f>C478/'客户小时分布'!$C$10</x:f>
        <x:v>0</x:v>
      </x:c>
      <x:c r="F478" s="8" t="n">
        <x:f>B478*C478</x:f>
        <x:v>0</x:v>
      </x:c>
      <x:c r="G478" s="12" t="n">
        <x:f>F478/'客户小时分布'!$C$6</x:f>
        <x:v>0</x:v>
      </x:c>
      <x:c r="H478" s="12" t="n">
        <x:f>SUM($C$8:C478)/'客户小时分布'!$C$8</x:f>
        <x:v>0.9999780361378745</x:v>
      </x:c>
    </x:row>
    <x:row r="479" ht="22" customHeight="1">
      <x:c r="A479" s="2"/>
      <x:c r="B479" s="8" t="n">
        <x:v>472</x:v>
      </x:c>
      <x:c r="C479" s="8" t="n">
        <x:v>0</x:v>
      </x:c>
      <x:c r="D479" s="12" t="n">
        <x:f>C479/'客户小时分布'!$C$8</x:f>
        <x:v>0</x:v>
      </x:c>
      <x:c r="E479" s="12" t="n">
        <x:f>C479/'客户小时分布'!$C$10</x:f>
        <x:v>0</x:v>
      </x:c>
      <x:c r="F479" s="8" t="n">
        <x:f>B479*C479</x:f>
        <x:v>0</x:v>
      </x:c>
      <x:c r="G479" s="12" t="n">
        <x:f>F479/'客户小时分布'!$C$6</x:f>
        <x:v>0</x:v>
      </x:c>
      <x:c r="H479" s="12" t="n">
        <x:f>SUM($C$8:C479)/'客户小时分布'!$C$8</x:f>
        <x:v>0.9999780361378745</x:v>
      </x:c>
    </x:row>
    <x:row r="480" ht="22" customHeight="1">
      <x:c r="A480" s="2"/>
      <x:c r="B480" s="8" t="n">
        <x:v>473</x:v>
      </x:c>
      <x:c r="C480" s="8" t="n">
        <x:v>1</x:v>
      </x:c>
      <x:c r="D480" s="12" t="n">
        <x:f>C480/'客户小时分布'!$C$8</x:f>
        <x:v>0.00000146425747503441</x:v>
      </x:c>
      <x:c r="E480" s="12" t="n">
        <x:f>C480/'客户小时分布'!$C$10</x:f>
        <x:v>1.3440860215053764e-7</x:v>
      </x:c>
      <x:c r="F480" s="8" t="n">
        <x:f>B480*C480</x:f>
        <x:v>473</x:v>
      </x:c>
      <x:c r="G480" s="12" t="n">
        <x:f>F480/'客户小时分布'!$C$6</x:f>
        <x:v>0.000038590489312718885</x:v>
      </x:c>
      <x:c r="H480" s="12" t="n">
        <x:f>SUM($C$8:C480)/'客户小时分布'!$C$8</x:f>
        <x:v>0.9999795003953496</x:v>
      </x:c>
    </x:row>
    <x:row r="481" ht="22" customHeight="1">
      <x:c r="A481" s="2"/>
      <x:c r="B481" s="8" t="n">
        <x:v>474</x:v>
      </x:c>
      <x:c r="C481" s="8" t="n">
        <x:v>0</x:v>
      </x:c>
      <x:c r="D481" s="12" t="n">
        <x:f>C481/'客户小时分布'!$C$8</x:f>
        <x:v>0</x:v>
      </x:c>
      <x:c r="E481" s="12" t="n">
        <x:f>C481/'客户小时分布'!$C$10</x:f>
        <x:v>0</x:v>
      </x:c>
      <x:c r="F481" s="8" t="n">
        <x:f>B481*C481</x:f>
        <x:v>0</x:v>
      </x:c>
      <x:c r="G481" s="12" t="n">
        <x:f>F481/'客户小时分布'!$C$6</x:f>
        <x:v>0</x:v>
      </x:c>
      <x:c r="H481" s="12" t="n">
        <x:f>SUM($C$8:C481)/'客户小时分布'!$C$8</x:f>
        <x:v>0.9999795003953496</x:v>
      </x:c>
    </x:row>
    <x:row r="482" ht="22" customHeight="1">
      <x:c r="A482" s="2"/>
      <x:c r="B482" s="8" t="n">
        <x:v>475</x:v>
      </x:c>
      <x:c r="C482" s="8" t="n">
        <x:v>0</x:v>
      </x:c>
      <x:c r="D482" s="12" t="n">
        <x:f>C482/'客户小时分布'!$C$8</x:f>
        <x:v>0</x:v>
      </x:c>
      <x:c r="E482" s="12" t="n">
        <x:f>C482/'客户小时分布'!$C$10</x:f>
        <x:v>0</x:v>
      </x:c>
      <x:c r="F482" s="8" t="n">
        <x:f>B482*C482</x:f>
        <x:v>0</x:v>
      </x:c>
      <x:c r="G482" s="12" t="n">
        <x:f>F482/'客户小时分布'!$C$6</x:f>
        <x:v>0</x:v>
      </x:c>
      <x:c r="H482" s="12" t="n">
        <x:f>SUM($C$8:C482)/'客户小时分布'!$C$8</x:f>
        <x:v>0.9999795003953496</x:v>
      </x:c>
    </x:row>
    <x:row r="483" ht="22" customHeight="1">
      <x:c r="A483" s="2"/>
      <x:c r="B483" s="8" t="n">
        <x:v>476</x:v>
      </x:c>
      <x:c r="C483" s="8" t="n">
        <x:v>0</x:v>
      </x:c>
      <x:c r="D483" s="12" t="n">
        <x:f>C483/'客户小时分布'!$C$8</x:f>
        <x:v>0</x:v>
      </x:c>
      <x:c r="E483" s="12" t="n">
        <x:f>C483/'客户小时分布'!$C$10</x:f>
        <x:v>0</x:v>
      </x:c>
      <x:c r="F483" s="8" t="n">
        <x:f>B483*C483</x:f>
        <x:v>0</x:v>
      </x:c>
      <x:c r="G483" s="12" t="n">
        <x:f>F483/'客户小时分布'!$C$6</x:f>
        <x:v>0</x:v>
      </x:c>
      <x:c r="H483" s="12" t="n">
        <x:f>SUM($C$8:C483)/'客户小时分布'!$C$8</x:f>
        <x:v>0.9999795003953496</x:v>
      </x:c>
    </x:row>
    <x:row r="484" ht="22" customHeight="1">
      <x:c r="A484" s="2"/>
      <x:c r="B484" s="8" t="n">
        <x:v>477</x:v>
      </x:c>
      <x:c r="C484" s="8" t="n">
        <x:v>0</x:v>
      </x:c>
      <x:c r="D484" s="12" t="n">
        <x:f>C484/'客户小时分布'!$C$8</x:f>
        <x:v>0</x:v>
      </x:c>
      <x:c r="E484" s="12" t="n">
        <x:f>C484/'客户小时分布'!$C$10</x:f>
        <x:v>0</x:v>
      </x:c>
      <x:c r="F484" s="8" t="n">
        <x:f>B484*C484</x:f>
        <x:v>0</x:v>
      </x:c>
      <x:c r="G484" s="12" t="n">
        <x:f>F484/'客户小时分布'!$C$6</x:f>
        <x:v>0</x:v>
      </x:c>
      <x:c r="H484" s="12" t="n">
        <x:f>SUM($C$8:C484)/'客户小时分布'!$C$8</x:f>
        <x:v>0.9999795003953496</x:v>
      </x:c>
    </x:row>
    <x:row r="485" ht="22" customHeight="1">
      <x:c r="A485" s="2"/>
      <x:c r="B485" s="8" t="n">
        <x:v>478</x:v>
      </x:c>
      <x:c r="C485" s="8" t="n">
        <x:v>1</x:v>
      </x:c>
      <x:c r="D485" s="12" t="n">
        <x:f>C485/'客户小时分布'!$C$8</x:f>
        <x:v>0.00000146425747503441</x:v>
      </x:c>
      <x:c r="E485" s="12" t="n">
        <x:f>C485/'客户小时分布'!$C$10</x:f>
        <x:v>1.3440860215053764e-7</x:v>
      </x:c>
      <x:c r="F485" s="8" t="n">
        <x:f>B485*C485</x:f>
        <x:v>478</x:v>
      </x:c>
      <x:c r="G485" s="12" t="n">
        <x:f>F485/'客户小时分布'!$C$6</x:f>
        <x:v>0.00003899842260355101</x:v>
      </x:c>
      <x:c r="H485" s="12" t="n">
        <x:f>SUM($C$8:C485)/'客户小时分布'!$C$8</x:f>
        <x:v>0.9999809646528246</x:v>
      </x:c>
    </x:row>
    <x:row r="486" ht="22" customHeight="1">
      <x:c r="A486" s="2"/>
      <x:c r="B486" s="8" t="n">
        <x:v>479</x:v>
      </x:c>
      <x:c r="C486" s="8" t="n">
        <x:v>1</x:v>
      </x:c>
      <x:c r="D486" s="12" t="n">
        <x:f>C486/'客户小时分布'!$C$8</x:f>
        <x:v>0.00000146425747503441</x:v>
      </x:c>
      <x:c r="E486" s="12" t="n">
        <x:f>C486/'客户小时分布'!$C$10</x:f>
        <x:v>1.3440860215053764e-7</x:v>
      </x:c>
      <x:c r="F486" s="8" t="n">
        <x:f>B486*C486</x:f>
        <x:v>479</x:v>
      </x:c>
      <x:c r="G486" s="12" t="n">
        <x:f>F486/'客户小时分布'!$C$6</x:f>
        <x:v>0.000039080009261717436</x:v>
      </x:c>
      <x:c r="H486" s="12" t="n">
        <x:f>SUM($C$8:C486)/'客户小时分布'!$C$8</x:f>
        <x:v>0.9999824289102995</x:v>
      </x:c>
    </x:row>
    <x:row r="487" ht="22" customHeight="1">
      <x:c r="A487" s="2"/>
      <x:c r="B487" s="8" t="n">
        <x:v>480</x:v>
      </x:c>
      <x:c r="C487" s="8" t="n">
        <x:v>0</x:v>
      </x:c>
      <x:c r="D487" s="12" t="n">
        <x:f>C487/'客户小时分布'!$C$8</x:f>
        <x:v>0</x:v>
      </x:c>
      <x:c r="E487" s="12" t="n">
        <x:f>C487/'客户小时分布'!$C$10</x:f>
        <x:v>0</x:v>
      </x:c>
      <x:c r="F487" s="8" t="n">
        <x:f>B487*C487</x:f>
        <x:v>0</x:v>
      </x:c>
      <x:c r="G487" s="12" t="n">
        <x:f>F487/'客户小时分布'!$C$6</x:f>
        <x:v>0</x:v>
      </x:c>
      <x:c r="H487" s="12" t="n">
        <x:f>SUM($C$8:C487)/'客户小时分布'!$C$8</x:f>
        <x:v>0.9999824289102995</x:v>
      </x:c>
    </x:row>
    <x:row r="488" ht="22" customHeight="1">
      <x:c r="A488" s="2"/>
      <x:c r="B488" s="8" t="n">
        <x:v>481</x:v>
      </x:c>
      <x:c r="C488" s="8" t="n">
        <x:v>0</x:v>
      </x:c>
      <x:c r="D488" s="12" t="n">
        <x:f>C488/'客户小时分布'!$C$8</x:f>
        <x:v>0</x:v>
      </x:c>
      <x:c r="E488" s="12" t="n">
        <x:f>C488/'客户小时分布'!$C$10</x:f>
        <x:v>0</x:v>
      </x:c>
      <x:c r="F488" s="8" t="n">
        <x:f>B488*C488</x:f>
        <x:v>0</x:v>
      </x:c>
      <x:c r="G488" s="12" t="n">
        <x:f>F488/'客户小时分布'!$C$6</x:f>
        <x:v>0</x:v>
      </x:c>
      <x:c r="H488" s="12" t="n">
        <x:f>SUM($C$8:C488)/'客户小时分布'!$C$8</x:f>
        <x:v>0.9999824289102995</x:v>
      </x:c>
    </x:row>
    <x:row r="489" ht="22" customHeight="1">
      <x:c r="A489" s="2"/>
      <x:c r="B489" s="8" t="n">
        <x:v>482</x:v>
      </x:c>
      <x:c r="C489" s="8" t="n">
        <x:v>0</x:v>
      </x:c>
      <x:c r="D489" s="12" t="n">
        <x:f>C489/'客户小时分布'!$C$8</x:f>
        <x:v>0</x:v>
      </x:c>
      <x:c r="E489" s="12" t="n">
        <x:f>C489/'客户小时分布'!$C$10</x:f>
        <x:v>0</x:v>
      </x:c>
      <x:c r="F489" s="8" t="n">
        <x:f>B489*C489</x:f>
        <x:v>0</x:v>
      </x:c>
      <x:c r="G489" s="12" t="n">
        <x:f>F489/'客户小时分布'!$C$6</x:f>
        <x:v>0</x:v>
      </x:c>
      <x:c r="H489" s="12" t="n">
        <x:f>SUM($C$8:C489)/'客户小时分布'!$C$8</x:f>
        <x:v>0.9999824289102995</x:v>
      </x:c>
    </x:row>
    <x:row r="490" ht="22" customHeight="1">
      <x:c r="A490" s="2"/>
      <x:c r="B490" s="8" t="n">
        <x:v>483</x:v>
      </x:c>
      <x:c r="C490" s="8" t="n">
        <x:v>0</x:v>
      </x:c>
      <x:c r="D490" s="12" t="n">
        <x:f>C490/'客户小时分布'!$C$8</x:f>
        <x:v>0</x:v>
      </x:c>
      <x:c r="E490" s="12" t="n">
        <x:f>C490/'客户小时分布'!$C$10</x:f>
        <x:v>0</x:v>
      </x:c>
      <x:c r="F490" s="8" t="n">
        <x:f>B490*C490</x:f>
        <x:v>0</x:v>
      </x:c>
      <x:c r="G490" s="12" t="n">
        <x:f>F490/'客户小时分布'!$C$6</x:f>
        <x:v>0</x:v>
      </x:c>
      <x:c r="H490" s="12" t="n">
        <x:f>SUM($C$8:C490)/'客户小时分布'!$C$8</x:f>
        <x:v>0.9999824289102995</x:v>
      </x:c>
    </x:row>
    <x:row r="491" ht="22" customHeight="1">
      <x:c r="A491" s="2"/>
      <x:c r="B491" s="8" t="n">
        <x:v>484</x:v>
      </x:c>
      <x:c r="C491" s="8" t="n">
        <x:v>0</x:v>
      </x:c>
      <x:c r="D491" s="12" t="n">
        <x:f>C491/'客户小时分布'!$C$8</x:f>
        <x:v>0</x:v>
      </x:c>
      <x:c r="E491" s="12" t="n">
        <x:f>C491/'客户小时分布'!$C$10</x:f>
        <x:v>0</x:v>
      </x:c>
      <x:c r="F491" s="8" t="n">
        <x:f>B491*C491</x:f>
        <x:v>0</x:v>
      </x:c>
      <x:c r="G491" s="12" t="n">
        <x:f>F491/'客户小时分布'!$C$6</x:f>
        <x:v>0</x:v>
      </x:c>
      <x:c r="H491" s="12" t="n">
        <x:f>SUM($C$8:C491)/'客户小时分布'!$C$8</x:f>
        <x:v>0.9999824289102995</x:v>
      </x:c>
    </x:row>
    <x:row r="492" ht="22" customHeight="1">
      <x:c r="A492" s="2"/>
      <x:c r="B492" s="8" t="n">
        <x:v>485</x:v>
      </x:c>
      <x:c r="C492" s="8" t="n">
        <x:v>0</x:v>
      </x:c>
      <x:c r="D492" s="12" t="n">
        <x:f>C492/'客户小时分布'!$C$8</x:f>
        <x:v>0</x:v>
      </x:c>
      <x:c r="E492" s="12" t="n">
        <x:f>C492/'客户小时分布'!$C$10</x:f>
        <x:v>0</x:v>
      </x:c>
      <x:c r="F492" s="8" t="n">
        <x:f>B492*C492</x:f>
        <x:v>0</x:v>
      </x:c>
      <x:c r="G492" s="12" t="n">
        <x:f>F492/'客户小时分布'!$C$6</x:f>
        <x:v>0</x:v>
      </x:c>
      <x:c r="H492" s="12" t="n">
        <x:f>SUM($C$8:C492)/'客户小时分布'!$C$8</x:f>
        <x:v>0.9999824289102995</x:v>
      </x:c>
    </x:row>
    <x:row r="493" ht="22" customHeight="1">
      <x:c r="A493" s="2"/>
      <x:c r="B493" s="8" t="n">
        <x:v>486</x:v>
      </x:c>
      <x:c r="C493" s="8" t="n">
        <x:v>0</x:v>
      </x:c>
      <x:c r="D493" s="12" t="n">
        <x:f>C493/'客户小时分布'!$C$8</x:f>
        <x:v>0</x:v>
      </x:c>
      <x:c r="E493" s="12" t="n">
        <x:f>C493/'客户小时分布'!$C$10</x:f>
        <x:v>0</x:v>
      </x:c>
      <x:c r="F493" s="8" t="n">
        <x:f>B493*C493</x:f>
        <x:v>0</x:v>
      </x:c>
      <x:c r="G493" s="12" t="n">
        <x:f>F493/'客户小时分布'!$C$6</x:f>
        <x:v>0</x:v>
      </x:c>
      <x:c r="H493" s="12" t="n">
        <x:f>SUM($C$8:C493)/'客户小时分布'!$C$8</x:f>
        <x:v>0.9999824289102995</x:v>
      </x:c>
    </x:row>
    <x:row r="494" ht="22" customHeight="1">
      <x:c r="A494" s="2"/>
      <x:c r="B494" s="8" t="n">
        <x:v>487</x:v>
      </x:c>
      <x:c r="C494" s="8" t="n">
        <x:v>1</x:v>
      </x:c>
      <x:c r="D494" s="12" t="n">
        <x:f>C494/'客户小时分布'!$C$8</x:f>
        <x:v>0.00000146425747503441</x:v>
      </x:c>
      <x:c r="E494" s="12" t="n">
        <x:f>C494/'客户小时分布'!$C$10</x:f>
        <x:v>1.3440860215053764e-7</x:v>
      </x:c>
      <x:c r="F494" s="8" t="n">
        <x:f>B494*C494</x:f>
        <x:v>487</x:v>
      </x:c>
      <x:c r="G494" s="12" t="n">
        <x:f>F494/'客户小时分布'!$C$6</x:f>
        <x:v>0.000039732702527048835</x:v>
      </x:c>
      <x:c r="H494" s="12" t="n">
        <x:f>SUM($C$8:C494)/'客户小时分布'!$C$8</x:f>
        <x:v>0.9999838931677746</x:v>
      </x:c>
    </x:row>
    <x:row r="495" ht="22" customHeight="1">
      <x:c r="A495" s="2"/>
      <x:c r="B495" s="8" t="n">
        <x:v>488</x:v>
      </x:c>
      <x:c r="C495" s="8" t="n">
        <x:v>0</x:v>
      </x:c>
      <x:c r="D495" s="12" t="n">
        <x:f>C495/'客户小时分布'!$C$8</x:f>
        <x:v>0</x:v>
      </x:c>
      <x:c r="E495" s="12" t="n">
        <x:f>C495/'客户小时分布'!$C$10</x:f>
        <x:v>0</x:v>
      </x:c>
      <x:c r="F495" s="8" t="n">
        <x:f>B495*C495</x:f>
        <x:v>0</x:v>
      </x:c>
      <x:c r="G495" s="12" t="n">
        <x:f>F495/'客户小时分布'!$C$6</x:f>
        <x:v>0</x:v>
      </x:c>
      <x:c r="H495" s="12" t="n">
        <x:f>SUM($C$8:C495)/'客户小时分布'!$C$8</x:f>
        <x:v>0.9999838931677746</x:v>
      </x:c>
    </x:row>
    <x:row r="496" ht="22" customHeight="1">
      <x:c r="A496" s="2"/>
      <x:c r="B496" s="8" t="n">
        <x:v>489</x:v>
      </x:c>
      <x:c r="C496" s="8" t="n">
        <x:v>1</x:v>
      </x:c>
      <x:c r="D496" s="12" t="n">
        <x:f>C496/'客户小时分布'!$C$8</x:f>
        <x:v>0.00000146425747503441</x:v>
      </x:c>
      <x:c r="E496" s="12" t="n">
        <x:f>C496/'客户小时分布'!$C$10</x:f>
        <x:v>1.3440860215053764e-7</x:v>
      </x:c>
      <x:c r="F496" s="8" t="n">
        <x:f>B496*C496</x:f>
        <x:v>489</x:v>
      </x:c>
      <x:c r="G496" s="12" t="n">
        <x:f>F496/'客户小时分布'!$C$6</x:f>
        <x:v>0.00003989587584338168</x:v>
      </x:c>
      <x:c r="H496" s="12" t="n">
        <x:f>SUM($C$8:C496)/'客户小时分布'!$C$8</x:f>
        <x:v>0.9999853574252496</x:v>
      </x:c>
    </x:row>
    <x:row r="497" ht="22" customHeight="1">
      <x:c r="A497" s="2"/>
      <x:c r="B497" s="8" t="n">
        <x:v>490</x:v>
      </x:c>
      <x:c r="C497" s="8" t="n">
        <x:v>1</x:v>
      </x:c>
      <x:c r="D497" s="12" t="n">
        <x:f>C497/'客户小时分布'!$C$8</x:f>
        <x:v>0.00000146425747503441</x:v>
      </x:c>
      <x:c r="E497" s="12" t="n">
        <x:f>C497/'客户小时分布'!$C$10</x:f>
        <x:v>1.3440860215053764e-7</x:v>
      </x:c>
      <x:c r="F497" s="8" t="n">
        <x:f>B497*C497</x:f>
        <x:v>490</x:v>
      </x:c>
      <x:c r="G497" s="12" t="n">
        <x:f>F497/'客户小时分布'!$C$6</x:f>
        <x:v>0.00003997746250154811</x:v>
      </x:c>
      <x:c r="H497" s="12" t="n">
        <x:f>SUM($C$8:C497)/'客户小时分布'!$C$8</x:f>
        <x:v>0.9999868216827247</x:v>
      </x:c>
    </x:row>
    <x:row r="498" ht="22" customHeight="1">
      <x:c r="A498" s="2"/>
      <x:c r="B498" s="8" t="n">
        <x:v>491</x:v>
      </x:c>
      <x:c r="C498" s="8" t="n">
        <x:v>0</x:v>
      </x:c>
      <x:c r="D498" s="12" t="n">
        <x:f>C498/'客户小时分布'!$C$8</x:f>
        <x:v>0</x:v>
      </x:c>
      <x:c r="E498" s="12" t="n">
        <x:f>C498/'客户小时分布'!$C$10</x:f>
        <x:v>0</x:v>
      </x:c>
      <x:c r="F498" s="8" t="n">
        <x:f>B498*C498</x:f>
        <x:v>0</x:v>
      </x:c>
      <x:c r="G498" s="12" t="n">
        <x:f>F498/'客户小时分布'!$C$6</x:f>
        <x:v>0</x:v>
      </x:c>
      <x:c r="H498" s="12" t="n">
        <x:f>SUM($C$8:C498)/'客户小时分布'!$C$8</x:f>
        <x:v>0.9999868216827247</x:v>
      </x:c>
    </x:row>
    <x:row r="499" ht="22" customHeight="1">
      <x:c r="A499" s="2"/>
      <x:c r="B499" s="8" t="n">
        <x:v>492</x:v>
      </x:c>
      <x:c r="C499" s="8" t="n">
        <x:v>0</x:v>
      </x:c>
      <x:c r="D499" s="12" t="n">
        <x:f>C499/'客户小时分布'!$C$8</x:f>
        <x:v>0</x:v>
      </x:c>
      <x:c r="E499" s="12" t="n">
        <x:f>C499/'客户小时分布'!$C$10</x:f>
        <x:v>0</x:v>
      </x:c>
      <x:c r="F499" s="8" t="n">
        <x:f>B499*C499</x:f>
        <x:v>0</x:v>
      </x:c>
      <x:c r="G499" s="12" t="n">
        <x:f>F499/'客户小时分布'!$C$6</x:f>
        <x:v>0</x:v>
      </x:c>
      <x:c r="H499" s="12" t="n">
        <x:f>SUM($C$8:C499)/'客户小时分布'!$C$8</x:f>
        <x:v>0.9999868216827247</x:v>
      </x:c>
    </x:row>
    <x:row r="500" ht="22" customHeight="1">
      <x:c r="A500" s="2"/>
      <x:c r="B500" s="8" t="n">
        <x:v>493</x:v>
      </x:c>
      <x:c r="C500" s="8" t="n">
        <x:v>0</x:v>
      </x:c>
      <x:c r="D500" s="12" t="n">
        <x:f>C500/'客户小时分布'!$C$8</x:f>
        <x:v>0</x:v>
      </x:c>
      <x:c r="E500" s="12" t="n">
        <x:f>C500/'客户小时分布'!$C$10</x:f>
        <x:v>0</x:v>
      </x:c>
      <x:c r="F500" s="8" t="n">
        <x:f>B500*C500</x:f>
        <x:v>0</x:v>
      </x:c>
      <x:c r="G500" s="12" t="n">
        <x:f>F500/'客户小时分布'!$C$6</x:f>
        <x:v>0</x:v>
      </x:c>
      <x:c r="H500" s="12" t="n">
        <x:f>SUM($C$8:C500)/'客户小时分布'!$C$8</x:f>
        <x:v>0.9999868216827247</x:v>
      </x:c>
    </x:row>
    <x:row r="501" ht="22" customHeight="1">
      <x:c r="A501" s="2"/>
      <x:c r="B501" s="8" t="n">
        <x:v>494</x:v>
      </x:c>
      <x:c r="C501" s="8" t="n">
        <x:v>0</x:v>
      </x:c>
      <x:c r="D501" s="12" t="n">
        <x:f>C501/'客户小时分布'!$C$8</x:f>
        <x:v>0</x:v>
      </x:c>
      <x:c r="E501" s="12" t="n">
        <x:f>C501/'客户小时分布'!$C$10</x:f>
        <x:v>0</x:v>
      </x:c>
      <x:c r="F501" s="8" t="n">
        <x:f>B501*C501</x:f>
        <x:v>0</x:v>
      </x:c>
      <x:c r="G501" s="12" t="n">
        <x:f>F501/'客户小时分布'!$C$6</x:f>
        <x:v>0</x:v>
      </x:c>
      <x:c r="H501" s="12" t="n">
        <x:f>SUM($C$8:C501)/'客户小时分布'!$C$8</x:f>
        <x:v>0.9999868216827247</x:v>
      </x:c>
    </x:row>
    <x:row r="502" ht="22" customHeight="1">
      <x:c r="A502" s="2"/>
      <x:c r="B502" s="8" t="n">
        <x:v>495</x:v>
      </x:c>
      <x:c r="C502" s="8" t="n">
        <x:v>0</x:v>
      </x:c>
      <x:c r="D502" s="12" t="n">
        <x:f>C502/'客户小时分布'!$C$8</x:f>
        <x:v>0</x:v>
      </x:c>
      <x:c r="E502" s="12" t="n">
        <x:f>C502/'客户小时分布'!$C$10</x:f>
        <x:v>0</x:v>
      </x:c>
      <x:c r="F502" s="8" t="n">
        <x:f>B502*C502</x:f>
        <x:v>0</x:v>
      </x:c>
      <x:c r="G502" s="12" t="n">
        <x:f>F502/'客户小时分布'!$C$6</x:f>
        <x:v>0</x:v>
      </x:c>
      <x:c r="H502" s="12" t="n">
        <x:f>SUM($C$8:C502)/'客户小时分布'!$C$8</x:f>
        <x:v>0.9999868216827247</x:v>
      </x:c>
    </x:row>
    <x:row r="503" ht="22" customHeight="1">
      <x:c r="A503" s="2"/>
      <x:c r="B503" s="8" t="n">
        <x:v>496</x:v>
      </x:c>
      <x:c r="C503" s="8" t="n">
        <x:v>0</x:v>
      </x:c>
      <x:c r="D503" s="12" t="n">
        <x:f>C503/'客户小时分布'!$C$8</x:f>
        <x:v>0</x:v>
      </x:c>
      <x:c r="E503" s="12" t="n">
        <x:f>C503/'客户小时分布'!$C$10</x:f>
        <x:v>0</x:v>
      </x:c>
      <x:c r="F503" s="8" t="n">
        <x:f>B503*C503</x:f>
        <x:v>0</x:v>
      </x:c>
      <x:c r="G503" s="12" t="n">
        <x:f>F503/'客户小时分布'!$C$6</x:f>
        <x:v>0</x:v>
      </x:c>
      <x:c r="H503" s="12" t="n">
        <x:f>SUM($C$8:C503)/'客户小时分布'!$C$8</x:f>
        <x:v>0.9999868216827247</x:v>
      </x:c>
    </x:row>
    <x:row r="504" ht="22" customHeight="1">
      <x:c r="A504" s="2"/>
      <x:c r="B504" s="8" t="n">
        <x:v>497</x:v>
      </x:c>
      <x:c r="C504" s="8" t="n">
        <x:v>0</x:v>
      </x:c>
      <x:c r="D504" s="12" t="n">
        <x:f>C504/'客户小时分布'!$C$8</x:f>
        <x:v>0</x:v>
      </x:c>
      <x:c r="E504" s="12" t="n">
        <x:f>C504/'客户小时分布'!$C$10</x:f>
        <x:v>0</x:v>
      </x:c>
      <x:c r="F504" s="8" t="n">
        <x:f>B504*C504</x:f>
        <x:v>0</x:v>
      </x:c>
      <x:c r="G504" s="12" t="n">
        <x:f>F504/'客户小时分布'!$C$6</x:f>
        <x:v>0</x:v>
      </x:c>
      <x:c r="H504" s="12" t="n">
        <x:f>SUM($C$8:C504)/'客户小时分布'!$C$8</x:f>
        <x:v>0.9999868216827247</x:v>
      </x:c>
    </x:row>
    <x:row r="505" ht="22" customHeight="1">
      <x:c r="A505" s="2"/>
      <x:c r="B505" s="8" t="n">
        <x:v>498</x:v>
      </x:c>
      <x:c r="C505" s="8" t="n">
        <x:v>0</x:v>
      </x:c>
      <x:c r="D505" s="12" t="n">
        <x:f>C505/'客户小时分布'!$C$8</x:f>
        <x:v>0</x:v>
      </x:c>
      <x:c r="E505" s="12" t="n">
        <x:f>C505/'客户小时分布'!$C$10</x:f>
        <x:v>0</x:v>
      </x:c>
      <x:c r="F505" s="8" t="n">
        <x:f>B505*C505</x:f>
        <x:v>0</x:v>
      </x:c>
      <x:c r="G505" s="12" t="n">
        <x:f>F505/'客户小时分布'!$C$6</x:f>
        <x:v>0</x:v>
      </x:c>
      <x:c r="H505" s="12" t="n">
        <x:f>SUM($C$8:C505)/'客户小时分布'!$C$8</x:f>
        <x:v>0.9999868216827247</x:v>
      </x:c>
    </x:row>
    <x:row r="506" ht="22" customHeight="1">
      <x:c r="A506" s="2"/>
      <x:c r="B506" s="8" t="n">
        <x:v>499</x:v>
      </x:c>
      <x:c r="C506" s="8" t="n">
        <x:v>0</x:v>
      </x:c>
      <x:c r="D506" s="12" t="n">
        <x:f>C506/'客户小时分布'!$C$8</x:f>
        <x:v>0</x:v>
      </x:c>
      <x:c r="E506" s="12" t="n">
        <x:f>C506/'客户小时分布'!$C$10</x:f>
        <x:v>0</x:v>
      </x:c>
      <x:c r="F506" s="8" t="n">
        <x:f>B506*C506</x:f>
        <x:v>0</x:v>
      </x:c>
      <x:c r="G506" s="12" t="n">
        <x:f>F506/'客户小时分布'!$C$6</x:f>
        <x:v>0</x:v>
      </x:c>
      <x:c r="H506" s="12" t="n">
        <x:f>SUM($C$8:C506)/'客户小时分布'!$C$8</x:f>
        <x:v>0.9999868216827247</x:v>
      </x:c>
    </x:row>
    <x:row r="507" ht="22" customHeight="1">
      <x:c r="A507" s="2"/>
      <x:c r="B507" s="8" t="n">
        <x:v>500</x:v>
      </x:c>
      <x:c r="C507" s="8" t="n">
        <x:v>0</x:v>
      </x:c>
      <x:c r="D507" s="12" t="n">
        <x:f>C507/'客户小时分布'!$C$8</x:f>
        <x:v>0</x:v>
      </x:c>
      <x:c r="E507" s="12" t="n">
        <x:f>C507/'客户小时分布'!$C$10</x:f>
        <x:v>0</x:v>
      </x:c>
      <x:c r="F507" s="8" t="n">
        <x:f>B507*C507</x:f>
        <x:v>0</x:v>
      </x:c>
      <x:c r="G507" s="12" t="n">
        <x:f>F507/'客户小时分布'!$C$6</x:f>
        <x:v>0</x:v>
      </x:c>
      <x:c r="H507" s="12" t="n">
        <x:f>SUM($C$8:C507)/'客户小时分布'!$C$8</x:f>
        <x:v>0.9999868216827247</x:v>
      </x:c>
    </x:row>
    <x:row r="508" ht="22" customHeight="1">
      <x:c r="A508" s="2"/>
      <x:c r="B508" s="8" t="n">
        <x:v>501</x:v>
      </x:c>
      <x:c r="C508" s="8" t="n">
        <x:v>1</x:v>
      </x:c>
      <x:c r="D508" s="12" t="n">
        <x:f>C508/'客户小时分布'!$C$8</x:f>
        <x:v>0.00000146425747503441</x:v>
      </x:c>
      <x:c r="E508" s="12" t="n">
        <x:f>C508/'客户小时分布'!$C$10</x:f>
        <x:v>1.3440860215053764e-7</x:v>
      </x:c>
      <x:c r="F508" s="8" t="n">
        <x:f>B508*C508</x:f>
        <x:v>501</x:v>
      </x:c>
      <x:c r="G508" s="12" t="n">
        <x:f>F508/'客户小时分布'!$C$6</x:f>
        <x:v>0.00004087491574137878</x:v>
      </x:c>
      <x:c r="H508" s="12" t="n">
        <x:f>SUM($C$8:C508)/'客户小时分布'!$C$8</x:f>
        <x:v>0.9999882859401997</x:v>
      </x:c>
    </x:row>
    <x:row r="509" ht="22" customHeight="1">
      <x:c r="A509" s="2"/>
      <x:c r="B509" s="8" t="n">
        <x:v>502</x:v>
      </x:c>
      <x:c r="C509" s="8" t="n">
        <x:v>1</x:v>
      </x:c>
      <x:c r="D509" s="12" t="n">
        <x:f>C509/'客户小时分布'!$C$8</x:f>
        <x:v>0.00000146425747503441</x:v>
      </x:c>
      <x:c r="E509" s="12" t="n">
        <x:f>C509/'客户小时分布'!$C$10</x:f>
        <x:v>1.3440860215053764e-7</x:v>
      </x:c>
      <x:c r="F509" s="8" t="n">
        <x:f>B509*C509</x:f>
        <x:v>502</x:v>
      </x:c>
      <x:c r="G509" s="12" t="n">
        <x:f>F509/'客户小时分布'!$C$6</x:f>
        <x:v>0.0000409565023995452</x:v>
      </x:c>
      <x:c r="H509" s="12" t="n">
        <x:f>SUM($C$8:C509)/'客户小时分布'!$C$8</x:f>
        <x:v>0.9999897501976748</x:v>
      </x:c>
    </x:row>
    <x:row r="510" ht="22" customHeight="1">
      <x:c r="A510" s="2"/>
      <x:c r="B510" s="8" t="n">
        <x:v>503</x:v>
      </x:c>
      <x:c r="C510" s="8" t="n">
        <x:v>0</x:v>
      </x:c>
      <x:c r="D510" s="12" t="n">
        <x:f>C510/'客户小时分布'!$C$8</x:f>
        <x:v>0</x:v>
      </x:c>
      <x:c r="E510" s="12" t="n">
        <x:f>C510/'客户小时分布'!$C$10</x:f>
        <x:v>0</x:v>
      </x:c>
      <x:c r="F510" s="8" t="n">
        <x:f>B510*C510</x:f>
        <x:v>0</x:v>
      </x:c>
      <x:c r="G510" s="12" t="n">
        <x:f>F510/'客户小时分布'!$C$6</x:f>
        <x:v>0</x:v>
      </x:c>
      <x:c r="H510" s="12" t="n">
        <x:f>SUM($C$8:C510)/'客户小时分布'!$C$8</x:f>
        <x:v>0.9999897501976748</x:v>
      </x:c>
    </x:row>
    <x:row r="511" ht="22" customHeight="1">
      <x:c r="A511" s="2"/>
      <x:c r="B511" s="8" t="n">
        <x:v>504</x:v>
      </x:c>
      <x:c r="C511" s="8" t="n">
        <x:v>0</x:v>
      </x:c>
      <x:c r="D511" s="12" t="n">
        <x:f>C511/'客户小时分布'!$C$8</x:f>
        <x:v>0</x:v>
      </x:c>
      <x:c r="E511" s="12" t="n">
        <x:f>C511/'客户小时分布'!$C$10</x:f>
        <x:v>0</x:v>
      </x:c>
      <x:c r="F511" s="8" t="n">
        <x:f>B511*C511</x:f>
        <x:v>0</x:v>
      </x:c>
      <x:c r="G511" s="12" t="n">
        <x:f>F511/'客户小时分布'!$C$6</x:f>
        <x:v>0</x:v>
      </x:c>
      <x:c r="H511" s="12" t="n">
        <x:f>SUM($C$8:C511)/'客户小时分布'!$C$8</x:f>
        <x:v>0.9999897501976748</x:v>
      </x:c>
    </x:row>
    <x:row r="512" ht="22" customHeight="1">
      <x:c r="A512" s="2"/>
      <x:c r="B512" s="8" t="n">
        <x:v>505</x:v>
      </x:c>
      <x:c r="C512" s="8" t="n">
        <x:v>0</x:v>
      </x:c>
      <x:c r="D512" s="12" t="n">
        <x:f>C512/'客户小时分布'!$C$8</x:f>
        <x:v>0</x:v>
      </x:c>
      <x:c r="E512" s="12" t="n">
        <x:f>C512/'客户小时分布'!$C$10</x:f>
        <x:v>0</x:v>
      </x:c>
      <x:c r="F512" s="8" t="n">
        <x:f>B512*C512</x:f>
        <x:v>0</x:v>
      </x:c>
      <x:c r="G512" s="12" t="n">
        <x:f>F512/'客户小时分布'!$C$6</x:f>
        <x:v>0</x:v>
      </x:c>
      <x:c r="H512" s="12" t="n">
        <x:f>SUM($C$8:C512)/'客户小时分布'!$C$8</x:f>
        <x:v>0.9999897501976748</x:v>
      </x:c>
    </x:row>
    <x:row r="513" ht="22" customHeight="1">
      <x:c r="A513" s="2"/>
      <x:c r="B513" s="8" t="n">
        <x:v>506</x:v>
      </x:c>
      <x:c r="C513" s="8" t="n">
        <x:v>0</x:v>
      </x:c>
      <x:c r="D513" s="12" t="n">
        <x:f>C513/'客户小时分布'!$C$8</x:f>
        <x:v>0</x:v>
      </x:c>
      <x:c r="E513" s="12" t="n">
        <x:f>C513/'客户小时分布'!$C$10</x:f>
        <x:v>0</x:v>
      </x:c>
      <x:c r="F513" s="8" t="n">
        <x:f>B513*C513</x:f>
        <x:v>0</x:v>
      </x:c>
      <x:c r="G513" s="12" t="n">
        <x:f>F513/'客户小时分布'!$C$6</x:f>
        <x:v>0</x:v>
      </x:c>
      <x:c r="H513" s="12" t="n">
        <x:f>SUM($C$8:C513)/'客户小时分布'!$C$8</x:f>
        <x:v>0.9999897501976748</x:v>
      </x:c>
    </x:row>
    <x:row r="514" ht="22" customHeight="1">
      <x:c r="A514" s="2"/>
      <x:c r="B514" s="8" t="n">
        <x:v>507</x:v>
      </x:c>
      <x:c r="C514" s="8" t="n">
        <x:v>0</x:v>
      </x:c>
      <x:c r="D514" s="12" t="n">
        <x:f>C514/'客户小时分布'!$C$8</x:f>
        <x:v>0</x:v>
      </x:c>
      <x:c r="E514" s="12" t="n">
        <x:f>C514/'客户小时分布'!$C$10</x:f>
        <x:v>0</x:v>
      </x:c>
      <x:c r="F514" s="8" t="n">
        <x:f>B514*C514</x:f>
        <x:v>0</x:v>
      </x:c>
      <x:c r="G514" s="12" t="n">
        <x:f>F514/'客户小时分布'!$C$6</x:f>
        <x:v>0</x:v>
      </x:c>
      <x:c r="H514" s="12" t="n">
        <x:f>SUM($C$8:C514)/'客户小时分布'!$C$8</x:f>
        <x:v>0.9999897501976748</x:v>
      </x:c>
    </x:row>
    <x:row r="515" ht="22" customHeight="1">
      <x:c r="A515" s="2"/>
      <x:c r="B515" s="8" t="n">
        <x:v>508</x:v>
      </x:c>
      <x:c r="C515" s="8" t="n">
        <x:v>0</x:v>
      </x:c>
      <x:c r="D515" s="12" t="n">
        <x:f>C515/'客户小时分布'!$C$8</x:f>
        <x:v>0</x:v>
      </x:c>
      <x:c r="E515" s="12" t="n">
        <x:f>C515/'客户小时分布'!$C$10</x:f>
        <x:v>0</x:v>
      </x:c>
      <x:c r="F515" s="8" t="n">
        <x:f>B515*C515</x:f>
        <x:v>0</x:v>
      </x:c>
      <x:c r="G515" s="12" t="n">
        <x:f>F515/'客户小时分布'!$C$6</x:f>
        <x:v>0</x:v>
      </x:c>
      <x:c r="H515" s="12" t="n">
        <x:f>SUM($C$8:C515)/'客户小时分布'!$C$8</x:f>
        <x:v>0.9999897501976748</x:v>
      </x:c>
    </x:row>
    <x:row r="516" ht="22" customHeight="1">
      <x:c r="A516" s="2"/>
      <x:c r="B516" s="8" t="n">
        <x:v>509</x:v>
      </x:c>
      <x:c r="C516" s="8" t="n">
        <x:v>0</x:v>
      </x:c>
      <x:c r="D516" s="12" t="n">
        <x:f>C516/'客户小时分布'!$C$8</x:f>
        <x:v>0</x:v>
      </x:c>
      <x:c r="E516" s="12" t="n">
        <x:f>C516/'客户小时分布'!$C$10</x:f>
        <x:v>0</x:v>
      </x:c>
      <x:c r="F516" s="8" t="n">
        <x:f>B516*C516</x:f>
        <x:v>0</x:v>
      </x:c>
      <x:c r="G516" s="12" t="n">
        <x:f>F516/'客户小时分布'!$C$6</x:f>
        <x:v>0</x:v>
      </x:c>
      <x:c r="H516" s="12" t="n">
        <x:f>SUM($C$8:C516)/'客户小时分布'!$C$8</x:f>
        <x:v>0.9999897501976748</x:v>
      </x:c>
    </x:row>
    <x:row r="517" ht="22" customHeight="1">
      <x:c r="A517" s="2"/>
      <x:c r="B517" s="8" t="n">
        <x:v>510</x:v>
      </x:c>
      <x:c r="C517" s="8" t="n">
        <x:v>0</x:v>
      </x:c>
      <x:c r="D517" s="12" t="n">
        <x:f>C517/'客户小时分布'!$C$8</x:f>
        <x:v>0</x:v>
      </x:c>
      <x:c r="E517" s="12" t="n">
        <x:f>C517/'客户小时分布'!$C$10</x:f>
        <x:v>0</x:v>
      </x:c>
      <x:c r="F517" s="8" t="n">
        <x:f>B517*C517</x:f>
        <x:v>0</x:v>
      </x:c>
      <x:c r="G517" s="12" t="n">
        <x:f>F517/'客户小时分布'!$C$6</x:f>
        <x:v>0</x:v>
      </x:c>
      <x:c r="H517" s="12" t="n">
        <x:f>SUM($C$8:C517)/'客户小时分布'!$C$8</x:f>
        <x:v>0.9999897501976748</x:v>
      </x:c>
    </x:row>
    <x:row r="518" ht="22" customHeight="1">
      <x:c r="A518" s="2"/>
      <x:c r="B518" s="8" t="n">
        <x:v>511</x:v>
      </x:c>
      <x:c r="C518" s="8" t="n">
        <x:v>0</x:v>
      </x:c>
      <x:c r="D518" s="12" t="n">
        <x:f>C518/'客户小时分布'!$C$8</x:f>
        <x:v>0</x:v>
      </x:c>
      <x:c r="E518" s="12" t="n">
        <x:f>C518/'客户小时分布'!$C$10</x:f>
        <x:v>0</x:v>
      </x:c>
      <x:c r="F518" s="8" t="n">
        <x:f>B518*C518</x:f>
        <x:v>0</x:v>
      </x:c>
      <x:c r="G518" s="12" t="n">
        <x:f>F518/'客户小时分布'!$C$6</x:f>
        <x:v>0</x:v>
      </x:c>
      <x:c r="H518" s="12" t="n">
        <x:f>SUM($C$8:C518)/'客户小时分布'!$C$8</x:f>
        <x:v>0.9999897501976748</x:v>
      </x:c>
    </x:row>
    <x:row r="519" ht="22" customHeight="1">
      <x:c r="A519" s="2"/>
      <x:c r="B519" s="8" t="n">
        <x:v>512</x:v>
      </x:c>
      <x:c r="C519" s="8" t="n">
        <x:v>0</x:v>
      </x:c>
      <x:c r="D519" s="12" t="n">
        <x:f>C519/'客户小时分布'!$C$8</x:f>
        <x:v>0</x:v>
      </x:c>
      <x:c r="E519" s="12" t="n">
        <x:f>C519/'客户小时分布'!$C$10</x:f>
        <x:v>0</x:v>
      </x:c>
      <x:c r="F519" s="8" t="n">
        <x:f>B519*C519</x:f>
        <x:v>0</x:v>
      </x:c>
      <x:c r="G519" s="12" t="n">
        <x:f>F519/'客户小时分布'!$C$6</x:f>
        <x:v>0</x:v>
      </x:c>
      <x:c r="H519" s="12" t="n">
        <x:f>SUM($C$8:C519)/'客户小时分布'!$C$8</x:f>
        <x:v>0.9999897501976748</x:v>
      </x:c>
    </x:row>
    <x:row r="520" ht="22" customHeight="1">
      <x:c r="A520" s="2"/>
      <x:c r="B520" s="8" t="n">
        <x:v>513</x:v>
      </x:c>
      <x:c r="C520" s="8" t="n">
        <x:v>0</x:v>
      </x:c>
      <x:c r="D520" s="12" t="n">
        <x:f>C520/'客户小时分布'!$C$8</x:f>
        <x:v>0</x:v>
      </x:c>
      <x:c r="E520" s="12" t="n">
        <x:f>C520/'客户小时分布'!$C$10</x:f>
        <x:v>0</x:v>
      </x:c>
      <x:c r="F520" s="8" t="n">
        <x:f>B520*C520</x:f>
        <x:v>0</x:v>
      </x:c>
      <x:c r="G520" s="12" t="n">
        <x:f>F520/'客户小时分布'!$C$6</x:f>
        <x:v>0</x:v>
      </x:c>
      <x:c r="H520" s="12" t="n">
        <x:f>SUM($C$8:C520)/'客户小时分布'!$C$8</x:f>
        <x:v>0.9999897501976748</x:v>
      </x:c>
    </x:row>
    <x:row r="521" ht="22" customHeight="1">
      <x:c r="A521" s="2"/>
      <x:c r="B521" s="8" t="n">
        <x:v>514</x:v>
      </x:c>
      <x:c r="C521" s="8" t="n">
        <x:v>0</x:v>
      </x:c>
      <x:c r="D521" s="12" t="n">
        <x:f>C521/'客户小时分布'!$C$8</x:f>
        <x:v>0</x:v>
      </x:c>
      <x:c r="E521" s="12" t="n">
        <x:f>C521/'客户小时分布'!$C$10</x:f>
        <x:v>0</x:v>
      </x:c>
      <x:c r="F521" s="8" t="n">
        <x:f>B521*C521</x:f>
        <x:v>0</x:v>
      </x:c>
      <x:c r="G521" s="12" t="n">
        <x:f>F521/'客户小时分布'!$C$6</x:f>
        <x:v>0</x:v>
      </x:c>
      <x:c r="H521" s="12" t="n">
        <x:f>SUM($C$8:C521)/'客户小时分布'!$C$8</x:f>
        <x:v>0.9999897501976748</x:v>
      </x:c>
    </x:row>
    <x:row r="522" ht="22" customHeight="1">
      <x:c r="A522" s="2"/>
      <x:c r="B522" s="8" t="n">
        <x:v>515</x:v>
      </x:c>
      <x:c r="C522" s="8" t="n">
        <x:v>0</x:v>
      </x:c>
      <x:c r="D522" s="12" t="n">
        <x:f>C522/'客户小时分布'!$C$8</x:f>
        <x:v>0</x:v>
      </x:c>
      <x:c r="E522" s="12" t="n">
        <x:f>C522/'客户小时分布'!$C$10</x:f>
        <x:v>0</x:v>
      </x:c>
      <x:c r="F522" s="8" t="n">
        <x:f>B522*C522</x:f>
        <x:v>0</x:v>
      </x:c>
      <x:c r="G522" s="12" t="n">
        <x:f>F522/'客户小时分布'!$C$6</x:f>
        <x:v>0</x:v>
      </x:c>
      <x:c r="H522" s="12" t="n">
        <x:f>SUM($C$8:C522)/'客户小时分布'!$C$8</x:f>
        <x:v>0.9999897501976748</x:v>
      </x:c>
    </x:row>
    <x:row r="523" ht="22" customHeight="1">
      <x:c r="A523" s="2"/>
      <x:c r="B523" s="8" t="n">
        <x:v>516</x:v>
      </x:c>
      <x:c r="C523" s="8" t="n">
        <x:v>0</x:v>
      </x:c>
      <x:c r="D523" s="12" t="n">
        <x:f>C523/'客户小时分布'!$C$8</x:f>
        <x:v>0</x:v>
      </x:c>
      <x:c r="E523" s="12" t="n">
        <x:f>C523/'客户小时分布'!$C$10</x:f>
        <x:v>0</x:v>
      </x:c>
      <x:c r="F523" s="8" t="n">
        <x:f>B523*C523</x:f>
        <x:v>0</x:v>
      </x:c>
      <x:c r="G523" s="12" t="n">
        <x:f>F523/'客户小时分布'!$C$6</x:f>
        <x:v>0</x:v>
      </x:c>
      <x:c r="H523" s="12" t="n">
        <x:f>SUM($C$8:C523)/'客户小时分布'!$C$8</x:f>
        <x:v>0.9999897501976748</x:v>
      </x:c>
    </x:row>
    <x:row r="524" ht="22" customHeight="1">
      <x:c r="A524" s="2"/>
      <x:c r="B524" s="8" t="n">
        <x:v>517</x:v>
      </x:c>
      <x:c r="C524" s="8" t="n">
        <x:v>0</x:v>
      </x:c>
      <x:c r="D524" s="12" t="n">
        <x:f>C524/'客户小时分布'!$C$8</x:f>
        <x:v>0</x:v>
      </x:c>
      <x:c r="E524" s="12" t="n">
        <x:f>C524/'客户小时分布'!$C$10</x:f>
        <x:v>0</x:v>
      </x:c>
      <x:c r="F524" s="8" t="n">
        <x:f>B524*C524</x:f>
        <x:v>0</x:v>
      </x:c>
      <x:c r="G524" s="12" t="n">
        <x:f>F524/'客户小时分布'!$C$6</x:f>
        <x:v>0</x:v>
      </x:c>
      <x:c r="H524" s="12" t="n">
        <x:f>SUM($C$8:C524)/'客户小时分布'!$C$8</x:f>
        <x:v>0.9999897501976748</x:v>
      </x:c>
    </x:row>
    <x:row r="525" ht="22" customHeight="1">
      <x:c r="A525" s="2"/>
      <x:c r="B525" s="8" t="n">
        <x:v>518</x:v>
      </x:c>
      <x:c r="C525" s="8" t="n">
        <x:v>0</x:v>
      </x:c>
      <x:c r="D525" s="12" t="n">
        <x:f>C525/'客户小时分布'!$C$8</x:f>
        <x:v>0</x:v>
      </x:c>
      <x:c r="E525" s="12" t="n">
        <x:f>C525/'客户小时分布'!$C$10</x:f>
        <x:v>0</x:v>
      </x:c>
      <x:c r="F525" s="8" t="n">
        <x:f>B525*C525</x:f>
        <x:v>0</x:v>
      </x:c>
      <x:c r="G525" s="12" t="n">
        <x:f>F525/'客户小时分布'!$C$6</x:f>
        <x:v>0</x:v>
      </x:c>
      <x:c r="H525" s="12" t="n">
        <x:f>SUM($C$8:C525)/'客户小时分布'!$C$8</x:f>
        <x:v>0.9999897501976748</x:v>
      </x:c>
    </x:row>
    <x:row r="526" ht="22" customHeight="1">
      <x:c r="A526" s="2"/>
      <x:c r="B526" s="8" t="n">
        <x:v>519</x:v>
      </x:c>
      <x:c r="C526" s="8" t="n">
        <x:v>0</x:v>
      </x:c>
      <x:c r="D526" s="12" t="n">
        <x:f>C526/'客户小时分布'!$C$8</x:f>
        <x:v>0</x:v>
      </x:c>
      <x:c r="E526" s="12" t="n">
        <x:f>C526/'客户小时分布'!$C$10</x:f>
        <x:v>0</x:v>
      </x:c>
      <x:c r="F526" s="8" t="n">
        <x:f>B526*C526</x:f>
        <x:v>0</x:v>
      </x:c>
      <x:c r="G526" s="12" t="n">
        <x:f>F526/'客户小时分布'!$C$6</x:f>
        <x:v>0</x:v>
      </x:c>
      <x:c r="H526" s="12" t="n">
        <x:f>SUM($C$8:C526)/'客户小时分布'!$C$8</x:f>
        <x:v>0.9999897501976748</x:v>
      </x:c>
    </x:row>
    <x:row r="527" ht="22" customHeight="1">
      <x:c r="A527" s="2"/>
      <x:c r="B527" s="8" t="n">
        <x:v>520</x:v>
      </x:c>
      <x:c r="C527" s="8" t="n">
        <x:v>0</x:v>
      </x:c>
      <x:c r="D527" s="12" t="n">
        <x:f>C527/'客户小时分布'!$C$8</x:f>
        <x:v>0</x:v>
      </x:c>
      <x:c r="E527" s="12" t="n">
        <x:f>C527/'客户小时分布'!$C$10</x:f>
        <x:v>0</x:v>
      </x:c>
      <x:c r="F527" s="8" t="n">
        <x:f>B527*C527</x:f>
        <x:v>0</x:v>
      </x:c>
      <x:c r="G527" s="12" t="n">
        <x:f>F527/'客户小时分布'!$C$6</x:f>
        <x:v>0</x:v>
      </x:c>
      <x:c r="H527" s="12" t="n">
        <x:f>SUM($C$8:C527)/'客户小时分布'!$C$8</x:f>
        <x:v>0.9999897501976748</x:v>
      </x:c>
    </x:row>
    <x:row r="528" ht="22" customHeight="1">
      <x:c r="A528" s="2"/>
      <x:c r="B528" s="8" t="n">
        <x:v>521</x:v>
      </x:c>
      <x:c r="C528" s="8" t="n">
        <x:v>0</x:v>
      </x:c>
      <x:c r="D528" s="12" t="n">
        <x:f>C528/'客户小时分布'!$C$8</x:f>
        <x:v>0</x:v>
      </x:c>
      <x:c r="E528" s="12" t="n">
        <x:f>C528/'客户小时分布'!$C$10</x:f>
        <x:v>0</x:v>
      </x:c>
      <x:c r="F528" s="8" t="n">
        <x:f>B528*C528</x:f>
        <x:v>0</x:v>
      </x:c>
      <x:c r="G528" s="12" t="n">
        <x:f>F528/'客户小时分布'!$C$6</x:f>
        <x:v>0</x:v>
      </x:c>
      <x:c r="H528" s="12" t="n">
        <x:f>SUM($C$8:C528)/'客户小时分布'!$C$8</x:f>
        <x:v>0.9999897501976748</x:v>
      </x:c>
    </x:row>
    <x:row r="529" ht="22" customHeight="1">
      <x:c r="A529" s="2"/>
      <x:c r="B529" s="8" t="n">
        <x:v>522</x:v>
      </x:c>
      <x:c r="C529" s="8" t="n">
        <x:v>0</x:v>
      </x:c>
      <x:c r="D529" s="12" t="n">
        <x:f>C529/'客户小时分布'!$C$8</x:f>
        <x:v>0</x:v>
      </x:c>
      <x:c r="E529" s="12" t="n">
        <x:f>C529/'客户小时分布'!$C$10</x:f>
        <x:v>0</x:v>
      </x:c>
      <x:c r="F529" s="8" t="n">
        <x:f>B529*C529</x:f>
        <x:v>0</x:v>
      </x:c>
      <x:c r="G529" s="12" t="n">
        <x:f>F529/'客户小时分布'!$C$6</x:f>
        <x:v>0</x:v>
      </x:c>
      <x:c r="H529" s="12" t="n">
        <x:f>SUM($C$8:C529)/'客户小时分布'!$C$8</x:f>
        <x:v>0.9999897501976748</x:v>
      </x:c>
    </x:row>
    <x:row r="530" ht="22" customHeight="1">
      <x:c r="A530" s="2"/>
      <x:c r="B530" s="8" t="n">
        <x:v>523</x:v>
      </x:c>
      <x:c r="C530" s="8" t="n">
        <x:v>0</x:v>
      </x:c>
      <x:c r="D530" s="12" t="n">
        <x:f>C530/'客户小时分布'!$C$8</x:f>
        <x:v>0</x:v>
      </x:c>
      <x:c r="E530" s="12" t="n">
        <x:f>C530/'客户小时分布'!$C$10</x:f>
        <x:v>0</x:v>
      </x:c>
      <x:c r="F530" s="8" t="n">
        <x:f>B530*C530</x:f>
        <x:v>0</x:v>
      </x:c>
      <x:c r="G530" s="12" t="n">
        <x:f>F530/'客户小时分布'!$C$6</x:f>
        <x:v>0</x:v>
      </x:c>
      <x:c r="H530" s="12" t="n">
        <x:f>SUM($C$8:C530)/'客户小时分布'!$C$8</x:f>
        <x:v>0.9999897501976748</x:v>
      </x:c>
    </x:row>
    <x:row r="531" ht="22" customHeight="1">
      <x:c r="A531" s="2"/>
      <x:c r="B531" s="8" t="n">
        <x:v>524</x:v>
      </x:c>
      <x:c r="C531" s="8" t="n">
        <x:v>0</x:v>
      </x:c>
      <x:c r="D531" s="12" t="n">
        <x:f>C531/'客户小时分布'!$C$8</x:f>
        <x:v>0</x:v>
      </x:c>
      <x:c r="E531" s="12" t="n">
        <x:f>C531/'客户小时分布'!$C$10</x:f>
        <x:v>0</x:v>
      </x:c>
      <x:c r="F531" s="8" t="n">
        <x:f>B531*C531</x:f>
        <x:v>0</x:v>
      </x:c>
      <x:c r="G531" s="12" t="n">
        <x:f>F531/'客户小时分布'!$C$6</x:f>
        <x:v>0</x:v>
      </x:c>
      <x:c r="H531" s="12" t="n">
        <x:f>SUM($C$8:C531)/'客户小时分布'!$C$8</x:f>
        <x:v>0.9999897501976748</x:v>
      </x:c>
    </x:row>
    <x:row r="532" ht="22" customHeight="1">
      <x:c r="A532" s="2"/>
      <x:c r="B532" s="8" t="n">
        <x:v>525</x:v>
      </x:c>
      <x:c r="C532" s="8" t="n">
        <x:v>0</x:v>
      </x:c>
      <x:c r="D532" s="12" t="n">
        <x:f>C532/'客户小时分布'!$C$8</x:f>
        <x:v>0</x:v>
      </x:c>
      <x:c r="E532" s="12" t="n">
        <x:f>C532/'客户小时分布'!$C$10</x:f>
        <x:v>0</x:v>
      </x:c>
      <x:c r="F532" s="8" t="n">
        <x:f>B532*C532</x:f>
        <x:v>0</x:v>
      </x:c>
      <x:c r="G532" s="12" t="n">
        <x:f>F532/'客户小时分布'!$C$6</x:f>
        <x:v>0</x:v>
      </x:c>
      <x:c r="H532" s="12" t="n">
        <x:f>SUM($C$8:C532)/'客户小时分布'!$C$8</x:f>
        <x:v>0.9999897501976748</x:v>
      </x:c>
    </x:row>
    <x:row r="533" ht="22" customHeight="1">
      <x:c r="A533" s="2"/>
      <x:c r="B533" s="8" t="n">
        <x:v>526</x:v>
      </x:c>
      <x:c r="C533" s="8" t="n">
        <x:v>0</x:v>
      </x:c>
      <x:c r="D533" s="12" t="n">
        <x:f>C533/'客户小时分布'!$C$8</x:f>
        <x:v>0</x:v>
      </x:c>
      <x:c r="E533" s="12" t="n">
        <x:f>C533/'客户小时分布'!$C$10</x:f>
        <x:v>0</x:v>
      </x:c>
      <x:c r="F533" s="8" t="n">
        <x:f>B533*C533</x:f>
        <x:v>0</x:v>
      </x:c>
      <x:c r="G533" s="12" t="n">
        <x:f>F533/'客户小时分布'!$C$6</x:f>
        <x:v>0</x:v>
      </x:c>
      <x:c r="H533" s="12" t="n">
        <x:f>SUM($C$8:C533)/'客户小时分布'!$C$8</x:f>
        <x:v>0.9999897501976748</x:v>
      </x:c>
    </x:row>
    <x:row r="534" ht="22" customHeight="1">
      <x:c r="A534" s="2"/>
      <x:c r="B534" s="8" t="n">
        <x:v>527</x:v>
      </x:c>
      <x:c r="C534" s="8" t="n">
        <x:v>0</x:v>
      </x:c>
      <x:c r="D534" s="12" t="n">
        <x:f>C534/'客户小时分布'!$C$8</x:f>
        <x:v>0</x:v>
      </x:c>
      <x:c r="E534" s="12" t="n">
        <x:f>C534/'客户小时分布'!$C$10</x:f>
        <x:v>0</x:v>
      </x:c>
      <x:c r="F534" s="8" t="n">
        <x:f>B534*C534</x:f>
        <x:v>0</x:v>
      </x:c>
      <x:c r="G534" s="12" t="n">
        <x:f>F534/'客户小时分布'!$C$6</x:f>
        <x:v>0</x:v>
      </x:c>
      <x:c r="H534" s="12" t="n">
        <x:f>SUM($C$8:C534)/'客户小时分布'!$C$8</x:f>
        <x:v>0.9999897501976748</x:v>
      </x:c>
    </x:row>
    <x:row r="535" ht="22" customHeight="1">
      <x:c r="A535" s="2"/>
      <x:c r="B535" s="8" t="n">
        <x:v>528</x:v>
      </x:c>
      <x:c r="C535" s="8" t="n">
        <x:v>0</x:v>
      </x:c>
      <x:c r="D535" s="12" t="n">
        <x:f>C535/'客户小时分布'!$C$8</x:f>
        <x:v>0</x:v>
      </x:c>
      <x:c r="E535" s="12" t="n">
        <x:f>C535/'客户小时分布'!$C$10</x:f>
        <x:v>0</x:v>
      </x:c>
      <x:c r="F535" s="8" t="n">
        <x:f>B535*C535</x:f>
        <x:v>0</x:v>
      </x:c>
      <x:c r="G535" s="12" t="n">
        <x:f>F535/'客户小时分布'!$C$6</x:f>
        <x:v>0</x:v>
      </x:c>
      <x:c r="H535" s="12" t="n">
        <x:f>SUM($C$8:C535)/'客户小时分布'!$C$8</x:f>
        <x:v>0.9999897501976748</x:v>
      </x:c>
    </x:row>
    <x:row r="536" ht="22" customHeight="1">
      <x:c r="A536" s="2"/>
      <x:c r="B536" s="8" t="n">
        <x:v>529</x:v>
      </x:c>
      <x:c r="C536" s="8" t="n">
        <x:v>0</x:v>
      </x:c>
      <x:c r="D536" s="12" t="n">
        <x:f>C536/'客户小时分布'!$C$8</x:f>
        <x:v>0</x:v>
      </x:c>
      <x:c r="E536" s="12" t="n">
        <x:f>C536/'客户小时分布'!$C$10</x:f>
        <x:v>0</x:v>
      </x:c>
      <x:c r="F536" s="8" t="n">
        <x:f>B536*C536</x:f>
        <x:v>0</x:v>
      </x:c>
      <x:c r="G536" s="12" t="n">
        <x:f>F536/'客户小时分布'!$C$6</x:f>
        <x:v>0</x:v>
      </x:c>
      <x:c r="H536" s="12" t="n">
        <x:f>SUM($C$8:C536)/'客户小时分布'!$C$8</x:f>
        <x:v>0.9999897501976748</x:v>
      </x:c>
    </x:row>
    <x:row r="537" ht="22" customHeight="1">
      <x:c r="A537" s="2"/>
      <x:c r="B537" s="8" t="n">
        <x:v>530</x:v>
      </x:c>
      <x:c r="C537" s="8" t="n">
        <x:v>1</x:v>
      </x:c>
      <x:c r="D537" s="12" t="n">
        <x:f>C537/'客户小时分布'!$C$8</x:f>
        <x:v>0.00000146425747503441</x:v>
      </x:c>
      <x:c r="E537" s="12" t="n">
        <x:f>C537/'客户小时分布'!$C$10</x:f>
        <x:v>1.3440860215053764e-7</x:v>
      </x:c>
      <x:c r="F537" s="8" t="n">
        <x:f>B537*C537</x:f>
        <x:v>530</x:v>
      </x:c>
      <x:c r="G537" s="12" t="n">
        <x:f>F537/'客户小时分布'!$C$6</x:f>
        <x:v>0.0000432409288282051</x:v>
      </x:c>
      <x:c r="H537" s="12" t="n">
        <x:f>SUM($C$8:C537)/'客户小时分布'!$C$8</x:f>
        <x:v>0.9999912144551498</x:v>
      </x:c>
    </x:row>
    <x:row r="538" ht="22" customHeight="1">
      <x:c r="A538" s="2"/>
      <x:c r="B538" s="8" t="n">
        <x:v>531</x:v>
      </x:c>
      <x:c r="C538" s="8" t="n">
        <x:v>0</x:v>
      </x:c>
      <x:c r="D538" s="12" t="n">
        <x:f>C538/'客户小时分布'!$C$8</x:f>
        <x:v>0</x:v>
      </x:c>
      <x:c r="E538" s="12" t="n">
        <x:f>C538/'客户小时分布'!$C$10</x:f>
        <x:v>0</x:v>
      </x:c>
      <x:c r="F538" s="8" t="n">
        <x:f>B538*C538</x:f>
        <x:v>0</x:v>
      </x:c>
      <x:c r="G538" s="12" t="n">
        <x:f>F538/'客户小时分布'!$C$6</x:f>
        <x:v>0</x:v>
      </x:c>
      <x:c r="H538" s="12" t="n">
        <x:f>SUM($C$8:C538)/'客户小时分布'!$C$8</x:f>
        <x:v>0.9999912144551498</x:v>
      </x:c>
    </x:row>
    <x:row r="539" ht="22" customHeight="1">
      <x:c r="A539" s="2"/>
      <x:c r="B539" s="8" t="n">
        <x:v>532</x:v>
      </x:c>
      <x:c r="C539" s="8" t="n">
        <x:v>0</x:v>
      </x:c>
      <x:c r="D539" s="12" t="n">
        <x:f>C539/'客户小时分布'!$C$8</x:f>
        <x:v>0</x:v>
      </x:c>
      <x:c r="E539" s="12" t="n">
        <x:f>C539/'客户小时分布'!$C$10</x:f>
        <x:v>0</x:v>
      </x:c>
      <x:c r="F539" s="8" t="n">
        <x:f>B539*C539</x:f>
        <x:v>0</x:v>
      </x:c>
      <x:c r="G539" s="12" t="n">
        <x:f>F539/'客户小时分布'!$C$6</x:f>
        <x:v>0</x:v>
      </x:c>
      <x:c r="H539" s="12" t="n">
        <x:f>SUM($C$8:C539)/'客户小时分布'!$C$8</x:f>
        <x:v>0.9999912144551498</x:v>
      </x:c>
    </x:row>
    <x:row r="540" ht="22" customHeight="1">
      <x:c r="A540" s="2"/>
      <x:c r="B540" s="8" t="n">
        <x:v>533</x:v>
      </x:c>
      <x:c r="C540" s="8" t="n">
        <x:v>0</x:v>
      </x:c>
      <x:c r="D540" s="12" t="n">
        <x:f>C540/'客户小时分布'!$C$8</x:f>
        <x:v>0</x:v>
      </x:c>
      <x:c r="E540" s="12" t="n">
        <x:f>C540/'客户小时分布'!$C$10</x:f>
        <x:v>0</x:v>
      </x:c>
      <x:c r="F540" s="8" t="n">
        <x:f>B540*C540</x:f>
        <x:v>0</x:v>
      </x:c>
      <x:c r="G540" s="12" t="n">
        <x:f>F540/'客户小时分布'!$C$6</x:f>
        <x:v>0</x:v>
      </x:c>
      <x:c r="H540" s="12" t="n">
        <x:f>SUM($C$8:C540)/'客户小时分布'!$C$8</x:f>
        <x:v>0.9999912144551498</x:v>
      </x:c>
    </x:row>
    <x:row r="541" ht="22" customHeight="1">
      <x:c r="A541" s="2"/>
      <x:c r="B541" s="8" t="n">
        <x:v>534</x:v>
      </x:c>
      <x:c r="C541" s="8" t="n">
        <x:v>0</x:v>
      </x:c>
      <x:c r="D541" s="12" t="n">
        <x:f>C541/'客户小时分布'!$C$8</x:f>
        <x:v>0</x:v>
      </x:c>
      <x:c r="E541" s="12" t="n">
        <x:f>C541/'客户小时分布'!$C$10</x:f>
        <x:v>0</x:v>
      </x:c>
      <x:c r="F541" s="8" t="n">
        <x:f>B541*C541</x:f>
        <x:v>0</x:v>
      </x:c>
      <x:c r="G541" s="12" t="n">
        <x:f>F541/'客户小时分布'!$C$6</x:f>
        <x:v>0</x:v>
      </x:c>
      <x:c r="H541" s="12" t="n">
        <x:f>SUM($C$8:C541)/'客户小时分布'!$C$8</x:f>
        <x:v>0.9999912144551498</x:v>
      </x:c>
    </x:row>
    <x:row r="542" ht="22" customHeight="1">
      <x:c r="A542" s="2"/>
      <x:c r="B542" s="8" t="n">
        <x:v>535</x:v>
      </x:c>
      <x:c r="C542" s="8" t="n">
        <x:v>0</x:v>
      </x:c>
      <x:c r="D542" s="12" t="n">
        <x:f>C542/'客户小时分布'!$C$8</x:f>
        <x:v>0</x:v>
      </x:c>
      <x:c r="E542" s="12" t="n">
        <x:f>C542/'客户小时分布'!$C$10</x:f>
        <x:v>0</x:v>
      </x:c>
      <x:c r="F542" s="8" t="n">
        <x:f>B542*C542</x:f>
        <x:v>0</x:v>
      </x:c>
      <x:c r="G542" s="12" t="n">
        <x:f>F542/'客户小时分布'!$C$6</x:f>
        <x:v>0</x:v>
      </x:c>
      <x:c r="H542" s="12" t="n">
        <x:f>SUM($C$8:C542)/'客户小时分布'!$C$8</x:f>
        <x:v>0.9999912144551498</x:v>
      </x:c>
    </x:row>
    <x:row r="543" ht="22" customHeight="1">
      <x:c r="A543" s="2"/>
      <x:c r="B543" s="8" t="n">
        <x:v>536</x:v>
      </x:c>
      <x:c r="C543" s="8" t="n">
        <x:v>0</x:v>
      </x:c>
      <x:c r="D543" s="12" t="n">
        <x:f>C543/'客户小时分布'!$C$8</x:f>
        <x:v>0</x:v>
      </x:c>
      <x:c r="E543" s="12" t="n">
        <x:f>C543/'客户小时分布'!$C$10</x:f>
        <x:v>0</x:v>
      </x:c>
      <x:c r="F543" s="8" t="n">
        <x:f>B543*C543</x:f>
        <x:v>0</x:v>
      </x:c>
      <x:c r="G543" s="12" t="n">
        <x:f>F543/'客户小时分布'!$C$6</x:f>
        <x:v>0</x:v>
      </x:c>
      <x:c r="H543" s="12" t="n">
        <x:f>SUM($C$8:C543)/'客户小时分布'!$C$8</x:f>
        <x:v>0.9999912144551498</x:v>
      </x:c>
    </x:row>
    <x:row r="544" ht="22" customHeight="1">
      <x:c r="A544" s="2"/>
      <x:c r="B544" s="8" t="n">
        <x:v>537</x:v>
      </x:c>
      <x:c r="C544" s="8" t="n">
        <x:v>0</x:v>
      </x:c>
      <x:c r="D544" s="12" t="n">
        <x:f>C544/'客户小时分布'!$C$8</x:f>
        <x:v>0</x:v>
      </x:c>
      <x:c r="E544" s="12" t="n">
        <x:f>C544/'客户小时分布'!$C$10</x:f>
        <x:v>0</x:v>
      </x:c>
      <x:c r="F544" s="8" t="n">
        <x:f>B544*C544</x:f>
        <x:v>0</x:v>
      </x:c>
      <x:c r="G544" s="12" t="n">
        <x:f>F544/'客户小时分布'!$C$6</x:f>
        <x:v>0</x:v>
      </x:c>
      <x:c r="H544" s="12" t="n">
        <x:f>SUM($C$8:C544)/'客户小时分布'!$C$8</x:f>
        <x:v>0.9999912144551498</x:v>
      </x:c>
    </x:row>
    <x:row r="545" ht="22" customHeight="1">
      <x:c r="A545" s="2"/>
      <x:c r="B545" s="8" t="n">
        <x:v>538</x:v>
      </x:c>
      <x:c r="C545" s="8" t="n">
        <x:v>0</x:v>
      </x:c>
      <x:c r="D545" s="12" t="n">
        <x:f>C545/'客户小时分布'!$C$8</x:f>
        <x:v>0</x:v>
      </x:c>
      <x:c r="E545" s="12" t="n">
        <x:f>C545/'客户小时分布'!$C$10</x:f>
        <x:v>0</x:v>
      </x:c>
      <x:c r="F545" s="8" t="n">
        <x:f>B545*C545</x:f>
        <x:v>0</x:v>
      </x:c>
      <x:c r="G545" s="12" t="n">
        <x:f>F545/'客户小时分布'!$C$6</x:f>
        <x:v>0</x:v>
      </x:c>
      <x:c r="H545" s="12" t="n">
        <x:f>SUM($C$8:C545)/'客户小时分布'!$C$8</x:f>
        <x:v>0.9999912144551498</x:v>
      </x:c>
    </x:row>
    <x:row r="546" ht="22" customHeight="1">
      <x:c r="A546" s="2"/>
      <x:c r="B546" s="8" t="n">
        <x:v>539</x:v>
      </x:c>
      <x:c r="C546" s="8" t="n">
        <x:v>0</x:v>
      </x:c>
      <x:c r="D546" s="12" t="n">
        <x:f>C546/'客户小时分布'!$C$8</x:f>
        <x:v>0</x:v>
      </x:c>
      <x:c r="E546" s="12" t="n">
        <x:f>C546/'客户小时分布'!$C$10</x:f>
        <x:v>0</x:v>
      </x:c>
      <x:c r="F546" s="8" t="n">
        <x:f>B546*C546</x:f>
        <x:v>0</x:v>
      </x:c>
      <x:c r="G546" s="12" t="n">
        <x:f>F546/'客户小时分布'!$C$6</x:f>
        <x:v>0</x:v>
      </x:c>
      <x:c r="H546" s="12" t="n">
        <x:f>SUM($C$8:C546)/'客户小时分布'!$C$8</x:f>
        <x:v>0.9999912144551498</x:v>
      </x:c>
    </x:row>
    <x:row r="547" ht="22" customHeight="1">
      <x:c r="A547" s="2"/>
      <x:c r="B547" s="8" t="n">
        <x:v>540</x:v>
      </x:c>
      <x:c r="C547" s="8" t="n">
        <x:v>0</x:v>
      </x:c>
      <x:c r="D547" s="12" t="n">
        <x:f>C547/'客户小时分布'!$C$8</x:f>
        <x:v>0</x:v>
      </x:c>
      <x:c r="E547" s="12" t="n">
        <x:f>C547/'客户小时分布'!$C$10</x:f>
        <x:v>0</x:v>
      </x:c>
      <x:c r="F547" s="8" t="n">
        <x:f>B547*C547</x:f>
        <x:v>0</x:v>
      </x:c>
      <x:c r="G547" s="12" t="n">
        <x:f>F547/'客户小时分布'!$C$6</x:f>
        <x:v>0</x:v>
      </x:c>
      <x:c r="H547" s="12" t="n">
        <x:f>SUM($C$8:C547)/'客户小时分布'!$C$8</x:f>
        <x:v>0.9999912144551498</x:v>
      </x:c>
    </x:row>
    <x:row r="548" ht="22" customHeight="1">
      <x:c r="A548" s="2"/>
      <x:c r="B548" s="8" t="n">
        <x:v>541</x:v>
      </x:c>
      <x:c r="C548" s="8" t="n">
        <x:v>0</x:v>
      </x:c>
      <x:c r="D548" s="12" t="n">
        <x:f>C548/'客户小时分布'!$C$8</x:f>
        <x:v>0</x:v>
      </x:c>
      <x:c r="E548" s="12" t="n">
        <x:f>C548/'客户小时分布'!$C$10</x:f>
        <x:v>0</x:v>
      </x:c>
      <x:c r="F548" s="8" t="n">
        <x:f>B548*C548</x:f>
        <x:v>0</x:v>
      </x:c>
      <x:c r="G548" s="12" t="n">
        <x:f>F548/'客户小时分布'!$C$6</x:f>
        <x:v>0</x:v>
      </x:c>
      <x:c r="H548" s="12" t="n">
        <x:f>SUM($C$8:C548)/'客户小时分布'!$C$8</x:f>
        <x:v>0.9999912144551498</x:v>
      </x:c>
    </x:row>
    <x:row r="549" ht="22" customHeight="1">
      <x:c r="A549" s="2"/>
      <x:c r="B549" s="8" t="n">
        <x:v>542</x:v>
      </x:c>
      <x:c r="C549" s="8" t="n">
        <x:v>0</x:v>
      </x:c>
      <x:c r="D549" s="12" t="n">
        <x:f>C549/'客户小时分布'!$C$8</x:f>
        <x:v>0</x:v>
      </x:c>
      <x:c r="E549" s="12" t="n">
        <x:f>C549/'客户小时分布'!$C$10</x:f>
        <x:v>0</x:v>
      </x:c>
      <x:c r="F549" s="8" t="n">
        <x:f>B549*C549</x:f>
        <x:v>0</x:v>
      </x:c>
      <x:c r="G549" s="12" t="n">
        <x:f>F549/'客户小时分布'!$C$6</x:f>
        <x:v>0</x:v>
      </x:c>
      <x:c r="H549" s="12" t="n">
        <x:f>SUM($C$8:C549)/'客户小时分布'!$C$8</x:f>
        <x:v>0.9999912144551498</x:v>
      </x:c>
    </x:row>
    <x:row r="550" ht="22" customHeight="1">
      <x:c r="A550" s="2"/>
      <x:c r="B550" s="8" t="n">
        <x:v>543</x:v>
      </x:c>
      <x:c r="C550" s="8" t="n">
        <x:v>0</x:v>
      </x:c>
      <x:c r="D550" s="12" t="n">
        <x:f>C550/'客户小时分布'!$C$8</x:f>
        <x:v>0</x:v>
      </x:c>
      <x:c r="E550" s="12" t="n">
        <x:f>C550/'客户小时分布'!$C$10</x:f>
        <x:v>0</x:v>
      </x:c>
      <x:c r="F550" s="8" t="n">
        <x:f>B550*C550</x:f>
        <x:v>0</x:v>
      </x:c>
      <x:c r="G550" s="12" t="n">
        <x:f>F550/'客户小时分布'!$C$6</x:f>
        <x:v>0</x:v>
      </x:c>
      <x:c r="H550" s="12" t="n">
        <x:f>SUM($C$8:C550)/'客户小时分布'!$C$8</x:f>
        <x:v>0.9999912144551498</x:v>
      </x:c>
    </x:row>
    <x:row r="551" ht="22" customHeight="1">
      <x:c r="A551" s="2"/>
      <x:c r="B551" s="8" t="n">
        <x:v>544</x:v>
      </x:c>
      <x:c r="C551" s="8" t="n">
        <x:v>0</x:v>
      </x:c>
      <x:c r="D551" s="12" t="n">
        <x:f>C551/'客户小时分布'!$C$8</x:f>
        <x:v>0</x:v>
      </x:c>
      <x:c r="E551" s="12" t="n">
        <x:f>C551/'客户小时分布'!$C$10</x:f>
        <x:v>0</x:v>
      </x:c>
      <x:c r="F551" s="8" t="n">
        <x:f>B551*C551</x:f>
        <x:v>0</x:v>
      </x:c>
      <x:c r="G551" s="12" t="n">
        <x:f>F551/'客户小时分布'!$C$6</x:f>
        <x:v>0</x:v>
      </x:c>
      <x:c r="H551" s="12" t="n">
        <x:f>SUM($C$8:C551)/'客户小时分布'!$C$8</x:f>
        <x:v>0.9999912144551498</x:v>
      </x:c>
    </x:row>
    <x:row r="552" ht="22" customHeight="1">
      <x:c r="A552" s="2"/>
      <x:c r="B552" s="8" t="n">
        <x:v>545</x:v>
      </x:c>
      <x:c r="C552" s="8" t="n">
        <x:v>0</x:v>
      </x:c>
      <x:c r="D552" s="12" t="n">
        <x:f>C552/'客户小时分布'!$C$8</x:f>
        <x:v>0</x:v>
      </x:c>
      <x:c r="E552" s="12" t="n">
        <x:f>C552/'客户小时分布'!$C$10</x:f>
        <x:v>0</x:v>
      </x:c>
      <x:c r="F552" s="8" t="n">
        <x:f>B552*C552</x:f>
        <x:v>0</x:v>
      </x:c>
      <x:c r="G552" s="12" t="n">
        <x:f>F552/'客户小时分布'!$C$6</x:f>
        <x:v>0</x:v>
      </x:c>
      <x:c r="H552" s="12" t="n">
        <x:f>SUM($C$8:C552)/'客户小时分布'!$C$8</x:f>
        <x:v>0.9999912144551498</x:v>
      </x:c>
    </x:row>
    <x:row r="553" ht="22" customHeight="1">
      <x:c r="A553" s="2"/>
      <x:c r="B553" s="8" t="n">
        <x:v>546</x:v>
      </x:c>
      <x:c r="C553" s="8" t="n">
        <x:v>1</x:v>
      </x:c>
      <x:c r="D553" s="12" t="n">
        <x:f>C553/'客户小时分布'!$C$8</x:f>
        <x:v>0.00000146425747503441</x:v>
      </x:c>
      <x:c r="E553" s="12" t="n">
        <x:f>C553/'客户小时分布'!$C$10</x:f>
        <x:v>1.3440860215053764e-7</x:v>
      </x:c>
      <x:c r="F553" s="8" t="n">
        <x:f>B553*C553</x:f>
        <x:v>546</x:v>
      </x:c>
      <x:c r="G553" s="12" t="n">
        <x:f>F553/'客户小时分布'!$C$6</x:f>
        <x:v>0.00004454631535886789</x:v>
      </x:c>
      <x:c r="H553" s="12" t="n">
        <x:f>SUM($C$8:C553)/'客户小时分布'!$C$8</x:f>
        <x:v>0.9999926787126249</x:v>
      </x:c>
    </x:row>
    <x:row r="554" ht="22" customHeight="1">
      <x:c r="A554" s="2"/>
      <x:c r="B554" s="8" t="n">
        <x:v>547</x:v>
      </x:c>
      <x:c r="C554" s="8" t="n">
        <x:v>0</x:v>
      </x:c>
      <x:c r="D554" s="12" t="n">
        <x:f>C554/'客户小时分布'!$C$8</x:f>
        <x:v>0</x:v>
      </x:c>
      <x:c r="E554" s="12" t="n">
        <x:f>C554/'客户小时分布'!$C$10</x:f>
        <x:v>0</x:v>
      </x:c>
      <x:c r="F554" s="8" t="n">
        <x:f>B554*C554</x:f>
        <x:v>0</x:v>
      </x:c>
      <x:c r="G554" s="12" t="n">
        <x:f>F554/'客户小时分布'!$C$6</x:f>
        <x:v>0</x:v>
      </x:c>
      <x:c r="H554" s="12" t="n">
        <x:f>SUM($C$8:C554)/'客户小时分布'!$C$8</x:f>
        <x:v>0.9999926787126249</x:v>
      </x:c>
    </x:row>
    <x:row r="555" ht="22" customHeight="1">
      <x:c r="A555" s="2"/>
      <x:c r="B555" s="8" t="n">
        <x:v>548</x:v>
      </x:c>
      <x:c r="C555" s="8" t="n">
        <x:v>0</x:v>
      </x:c>
      <x:c r="D555" s="12" t="n">
        <x:f>C555/'客户小时分布'!$C$8</x:f>
        <x:v>0</x:v>
      </x:c>
      <x:c r="E555" s="12" t="n">
        <x:f>C555/'客户小时分布'!$C$10</x:f>
        <x:v>0</x:v>
      </x:c>
      <x:c r="F555" s="8" t="n">
        <x:f>B555*C555</x:f>
        <x:v>0</x:v>
      </x:c>
      <x:c r="G555" s="12" t="n">
        <x:f>F555/'客户小时分布'!$C$6</x:f>
        <x:v>0</x:v>
      </x:c>
      <x:c r="H555" s="12" t="n">
        <x:f>SUM($C$8:C555)/'客户小时分布'!$C$8</x:f>
        <x:v>0.9999926787126249</x:v>
      </x:c>
    </x:row>
    <x:row r="556" ht="22" customHeight="1">
      <x:c r="A556" s="2"/>
      <x:c r="B556" s="8" t="n">
        <x:v>549</x:v>
      </x:c>
      <x:c r="C556" s="8" t="n">
        <x:v>0</x:v>
      </x:c>
      <x:c r="D556" s="12" t="n">
        <x:f>C556/'客户小时分布'!$C$8</x:f>
        <x:v>0</x:v>
      </x:c>
      <x:c r="E556" s="12" t="n">
        <x:f>C556/'客户小时分布'!$C$10</x:f>
        <x:v>0</x:v>
      </x:c>
      <x:c r="F556" s="8" t="n">
        <x:f>B556*C556</x:f>
        <x:v>0</x:v>
      </x:c>
      <x:c r="G556" s="12" t="n">
        <x:f>F556/'客户小时分布'!$C$6</x:f>
        <x:v>0</x:v>
      </x:c>
      <x:c r="H556" s="12" t="n">
        <x:f>SUM($C$8:C556)/'客户小时分布'!$C$8</x:f>
        <x:v>0.9999926787126249</x:v>
      </x:c>
    </x:row>
    <x:row r="557" ht="22" customHeight="1">
      <x:c r="A557" s="2"/>
      <x:c r="B557" s="8" t="n">
        <x:v>550</x:v>
      </x:c>
      <x:c r="C557" s="8" t="n">
        <x:v>0</x:v>
      </x:c>
      <x:c r="D557" s="12" t="n">
        <x:f>C557/'客户小时分布'!$C$8</x:f>
        <x:v>0</x:v>
      </x:c>
      <x:c r="E557" s="12" t="n">
        <x:f>C557/'客户小时分布'!$C$10</x:f>
        <x:v>0</x:v>
      </x:c>
      <x:c r="F557" s="8" t="n">
        <x:f>B557*C557</x:f>
        <x:v>0</x:v>
      </x:c>
      <x:c r="G557" s="12" t="n">
        <x:f>F557/'客户小时分布'!$C$6</x:f>
        <x:v>0</x:v>
      </x:c>
      <x:c r="H557" s="12" t="n">
        <x:f>SUM($C$8:C557)/'客户小时分布'!$C$8</x:f>
        <x:v>0.9999926787126249</x:v>
      </x:c>
    </x:row>
    <x:row r="558" ht="22" customHeight="1">
      <x:c r="A558" s="2"/>
      <x:c r="B558" s="8" t="n">
        <x:v>551</x:v>
      </x:c>
      <x:c r="C558" s="8" t="n">
        <x:v>0</x:v>
      </x:c>
      <x:c r="D558" s="12" t="n">
        <x:f>C558/'客户小时分布'!$C$8</x:f>
        <x:v>0</x:v>
      </x:c>
      <x:c r="E558" s="12" t="n">
        <x:f>C558/'客户小时分布'!$C$10</x:f>
        <x:v>0</x:v>
      </x:c>
      <x:c r="F558" s="8" t="n">
        <x:f>B558*C558</x:f>
        <x:v>0</x:v>
      </x:c>
      <x:c r="G558" s="12" t="n">
        <x:f>F558/'客户小时分布'!$C$6</x:f>
        <x:v>0</x:v>
      </x:c>
      <x:c r="H558" s="12" t="n">
        <x:f>SUM($C$8:C558)/'客户小时分布'!$C$8</x:f>
        <x:v>0.9999926787126249</x:v>
      </x:c>
    </x:row>
    <x:row r="559" ht="22" customHeight="1">
      <x:c r="A559" s="2"/>
      <x:c r="B559" s="8" t="n">
        <x:v>552</x:v>
      </x:c>
      <x:c r="C559" s="8" t="n">
        <x:v>0</x:v>
      </x:c>
      <x:c r="D559" s="12" t="n">
        <x:f>C559/'客户小时分布'!$C$8</x:f>
        <x:v>0</x:v>
      </x:c>
      <x:c r="E559" s="12" t="n">
        <x:f>C559/'客户小时分布'!$C$10</x:f>
        <x:v>0</x:v>
      </x:c>
      <x:c r="F559" s="8" t="n">
        <x:f>B559*C559</x:f>
        <x:v>0</x:v>
      </x:c>
      <x:c r="G559" s="12" t="n">
        <x:f>F559/'客户小时分布'!$C$6</x:f>
        <x:v>0</x:v>
      </x:c>
      <x:c r="H559" s="12" t="n">
        <x:f>SUM($C$8:C559)/'客户小时分布'!$C$8</x:f>
        <x:v>0.9999926787126249</x:v>
      </x:c>
    </x:row>
    <x:row r="560" ht="22" customHeight="1">
      <x:c r="A560" s="2"/>
      <x:c r="B560" s="8" t="n">
        <x:v>553</x:v>
      </x:c>
      <x:c r="C560" s="8" t="n">
        <x:v>0</x:v>
      </x:c>
      <x:c r="D560" s="12" t="n">
        <x:f>C560/'客户小时分布'!$C$8</x:f>
        <x:v>0</x:v>
      </x:c>
      <x:c r="E560" s="12" t="n">
        <x:f>C560/'客户小时分布'!$C$10</x:f>
        <x:v>0</x:v>
      </x:c>
      <x:c r="F560" s="8" t="n">
        <x:f>B560*C560</x:f>
        <x:v>0</x:v>
      </x:c>
      <x:c r="G560" s="12" t="n">
        <x:f>F560/'客户小时分布'!$C$6</x:f>
        <x:v>0</x:v>
      </x:c>
      <x:c r="H560" s="12" t="n">
        <x:f>SUM($C$8:C560)/'客户小时分布'!$C$8</x:f>
        <x:v>0.9999926787126249</x:v>
      </x:c>
    </x:row>
    <x:row r="561" ht="22" customHeight="1">
      <x:c r="A561" s="2"/>
      <x:c r="B561" s="8" t="n">
        <x:v>554</x:v>
      </x:c>
      <x:c r="C561" s="8" t="n">
        <x:v>0</x:v>
      </x:c>
      <x:c r="D561" s="12" t="n">
        <x:f>C561/'客户小时分布'!$C$8</x:f>
        <x:v>0</x:v>
      </x:c>
      <x:c r="E561" s="12" t="n">
        <x:f>C561/'客户小时分布'!$C$10</x:f>
        <x:v>0</x:v>
      </x:c>
      <x:c r="F561" s="8" t="n">
        <x:f>B561*C561</x:f>
        <x:v>0</x:v>
      </x:c>
      <x:c r="G561" s="12" t="n">
        <x:f>F561/'客户小时分布'!$C$6</x:f>
        <x:v>0</x:v>
      </x:c>
      <x:c r="H561" s="12" t="n">
        <x:f>SUM($C$8:C561)/'客户小时分布'!$C$8</x:f>
        <x:v>0.9999926787126249</x:v>
      </x:c>
    </x:row>
    <x:row r="562" ht="22" customHeight="1">
      <x:c r="A562" s="2"/>
      <x:c r="B562" s="8" t="n">
        <x:v>555</x:v>
      </x:c>
      <x:c r="C562" s="8" t="n">
        <x:v>0</x:v>
      </x:c>
      <x:c r="D562" s="12" t="n">
        <x:f>C562/'客户小时分布'!$C$8</x:f>
        <x:v>0</x:v>
      </x:c>
      <x:c r="E562" s="12" t="n">
        <x:f>C562/'客户小时分布'!$C$10</x:f>
        <x:v>0</x:v>
      </x:c>
      <x:c r="F562" s="8" t="n">
        <x:f>B562*C562</x:f>
        <x:v>0</x:v>
      </x:c>
      <x:c r="G562" s="12" t="n">
        <x:f>F562/'客户小时分布'!$C$6</x:f>
        <x:v>0</x:v>
      </x:c>
      <x:c r="H562" s="12" t="n">
        <x:f>SUM($C$8:C562)/'客户小时分布'!$C$8</x:f>
        <x:v>0.9999926787126249</x:v>
      </x:c>
    </x:row>
    <x:row r="563" ht="22" customHeight="1">
      <x:c r="A563" s="2"/>
      <x:c r="B563" s="8" t="n">
        <x:v>556</x:v>
      </x:c>
      <x:c r="C563" s="8" t="n">
        <x:v>0</x:v>
      </x:c>
      <x:c r="D563" s="12" t="n">
        <x:f>C563/'客户小时分布'!$C$8</x:f>
        <x:v>0</x:v>
      </x:c>
      <x:c r="E563" s="12" t="n">
        <x:f>C563/'客户小时分布'!$C$10</x:f>
        <x:v>0</x:v>
      </x:c>
      <x:c r="F563" s="8" t="n">
        <x:f>B563*C563</x:f>
        <x:v>0</x:v>
      </x:c>
      <x:c r="G563" s="12" t="n">
        <x:f>F563/'客户小时分布'!$C$6</x:f>
        <x:v>0</x:v>
      </x:c>
      <x:c r="H563" s="12" t="n">
        <x:f>SUM($C$8:C563)/'客户小时分布'!$C$8</x:f>
        <x:v>0.9999926787126249</x:v>
      </x:c>
    </x:row>
    <x:row r="564" ht="22" customHeight="1">
      <x:c r="A564" s="2"/>
      <x:c r="B564" s="8" t="n">
        <x:v>557</x:v>
      </x:c>
      <x:c r="C564" s="8" t="n">
        <x:v>0</x:v>
      </x:c>
      <x:c r="D564" s="12" t="n">
        <x:f>C564/'客户小时分布'!$C$8</x:f>
        <x:v>0</x:v>
      </x:c>
      <x:c r="E564" s="12" t="n">
        <x:f>C564/'客户小时分布'!$C$10</x:f>
        <x:v>0</x:v>
      </x:c>
      <x:c r="F564" s="8" t="n">
        <x:f>B564*C564</x:f>
        <x:v>0</x:v>
      </x:c>
      <x:c r="G564" s="12" t="n">
        <x:f>F564/'客户小时分布'!$C$6</x:f>
        <x:v>0</x:v>
      </x:c>
      <x:c r="H564" s="12" t="n">
        <x:f>SUM($C$8:C564)/'客户小时分布'!$C$8</x:f>
        <x:v>0.9999926787126249</x:v>
      </x:c>
    </x:row>
    <x:row r="565" ht="22" customHeight="1">
      <x:c r="A565" s="2"/>
      <x:c r="B565" s="8" t="n">
        <x:v>558</x:v>
      </x:c>
      <x:c r="C565" s="8" t="n">
        <x:v>0</x:v>
      </x:c>
      <x:c r="D565" s="12" t="n">
        <x:f>C565/'客户小时分布'!$C$8</x:f>
        <x:v>0</x:v>
      </x:c>
      <x:c r="E565" s="12" t="n">
        <x:f>C565/'客户小时分布'!$C$10</x:f>
        <x:v>0</x:v>
      </x:c>
      <x:c r="F565" s="8" t="n">
        <x:f>B565*C565</x:f>
        <x:v>0</x:v>
      </x:c>
      <x:c r="G565" s="12" t="n">
        <x:f>F565/'客户小时分布'!$C$6</x:f>
        <x:v>0</x:v>
      </x:c>
      <x:c r="H565" s="12" t="n">
        <x:f>SUM($C$8:C565)/'客户小时分布'!$C$8</x:f>
        <x:v>0.9999926787126249</x:v>
      </x:c>
    </x:row>
    <x:row r="566" ht="22" customHeight="1">
      <x:c r="A566" s="2"/>
      <x:c r="B566" s="8" t="n">
        <x:v>559</x:v>
      </x:c>
      <x:c r="C566" s="8" t="n">
        <x:v>0</x:v>
      </x:c>
      <x:c r="D566" s="12" t="n">
        <x:f>C566/'客户小时分布'!$C$8</x:f>
        <x:v>0</x:v>
      </x:c>
      <x:c r="E566" s="12" t="n">
        <x:f>C566/'客户小时分布'!$C$10</x:f>
        <x:v>0</x:v>
      </x:c>
      <x:c r="F566" s="8" t="n">
        <x:f>B566*C566</x:f>
        <x:v>0</x:v>
      </x:c>
      <x:c r="G566" s="12" t="n">
        <x:f>F566/'客户小时分布'!$C$6</x:f>
        <x:v>0</x:v>
      </x:c>
      <x:c r="H566" s="12" t="n">
        <x:f>SUM($C$8:C566)/'客户小时分布'!$C$8</x:f>
        <x:v>0.9999926787126249</x:v>
      </x:c>
    </x:row>
    <x:row r="567" ht="22" customHeight="1">
      <x:c r="A567" s="2"/>
      <x:c r="B567" s="8" t="n">
        <x:v>560</x:v>
      </x:c>
      <x:c r="C567" s="8" t="n">
        <x:v>0</x:v>
      </x:c>
      <x:c r="D567" s="12" t="n">
        <x:f>C567/'客户小时分布'!$C$8</x:f>
        <x:v>0</x:v>
      </x:c>
      <x:c r="E567" s="12" t="n">
        <x:f>C567/'客户小时分布'!$C$10</x:f>
        <x:v>0</x:v>
      </x:c>
      <x:c r="F567" s="8" t="n">
        <x:f>B567*C567</x:f>
        <x:v>0</x:v>
      </x:c>
      <x:c r="G567" s="12" t="n">
        <x:f>F567/'客户小时分布'!$C$6</x:f>
        <x:v>0</x:v>
      </x:c>
      <x:c r="H567" s="12" t="n">
        <x:f>SUM($C$8:C567)/'客户小时分布'!$C$8</x:f>
        <x:v>0.9999926787126249</x:v>
      </x:c>
    </x:row>
    <x:row r="568" ht="22" customHeight="1">
      <x:c r="A568" s="2"/>
      <x:c r="B568" s="8" t="n">
        <x:v>561</x:v>
      </x:c>
      <x:c r="C568" s="8" t="n">
        <x:v>0</x:v>
      </x:c>
      <x:c r="D568" s="12" t="n">
        <x:f>C568/'客户小时分布'!$C$8</x:f>
        <x:v>0</x:v>
      </x:c>
      <x:c r="E568" s="12" t="n">
        <x:f>C568/'客户小时分布'!$C$10</x:f>
        <x:v>0</x:v>
      </x:c>
      <x:c r="F568" s="8" t="n">
        <x:f>B568*C568</x:f>
        <x:v>0</x:v>
      </x:c>
      <x:c r="G568" s="12" t="n">
        <x:f>F568/'客户小时分布'!$C$6</x:f>
        <x:v>0</x:v>
      </x:c>
      <x:c r="H568" s="12" t="n">
        <x:f>SUM($C$8:C568)/'客户小时分布'!$C$8</x:f>
        <x:v>0.9999926787126249</x:v>
      </x:c>
    </x:row>
    <x:row r="569" ht="22" customHeight="1">
      <x:c r="A569" s="2"/>
      <x:c r="B569" s="8" t="n">
        <x:v>562</x:v>
      </x:c>
      <x:c r="C569" s="8" t="n">
        <x:v>0</x:v>
      </x:c>
      <x:c r="D569" s="12" t="n">
        <x:f>C569/'客户小时分布'!$C$8</x:f>
        <x:v>0</x:v>
      </x:c>
      <x:c r="E569" s="12" t="n">
        <x:f>C569/'客户小时分布'!$C$10</x:f>
        <x:v>0</x:v>
      </x:c>
      <x:c r="F569" s="8" t="n">
        <x:f>B569*C569</x:f>
        <x:v>0</x:v>
      </x:c>
      <x:c r="G569" s="12" t="n">
        <x:f>F569/'客户小时分布'!$C$6</x:f>
        <x:v>0</x:v>
      </x:c>
      <x:c r="H569" s="12" t="n">
        <x:f>SUM($C$8:C569)/'客户小时分布'!$C$8</x:f>
        <x:v>0.9999926787126249</x:v>
      </x:c>
    </x:row>
    <x:row r="570" ht="22" customHeight="1">
      <x:c r="A570" s="2"/>
      <x:c r="B570" s="8" t="n">
        <x:v>563</x:v>
      </x:c>
      <x:c r="C570" s="8" t="n">
        <x:v>0</x:v>
      </x:c>
      <x:c r="D570" s="12" t="n">
        <x:f>C570/'客户小时分布'!$C$8</x:f>
        <x:v>0</x:v>
      </x:c>
      <x:c r="E570" s="12" t="n">
        <x:f>C570/'客户小时分布'!$C$10</x:f>
        <x:v>0</x:v>
      </x:c>
      <x:c r="F570" s="8" t="n">
        <x:f>B570*C570</x:f>
        <x:v>0</x:v>
      </x:c>
      <x:c r="G570" s="12" t="n">
        <x:f>F570/'客户小时分布'!$C$6</x:f>
        <x:v>0</x:v>
      </x:c>
      <x:c r="H570" s="12" t="n">
        <x:f>SUM($C$8:C570)/'客户小时分布'!$C$8</x:f>
        <x:v>0.9999926787126249</x:v>
      </x:c>
    </x:row>
    <x:row r="571" ht="22" customHeight="1">
      <x:c r="A571" s="2"/>
      <x:c r="B571" s="8" t="n">
        <x:v>564</x:v>
      </x:c>
      <x:c r="C571" s="8" t="n">
        <x:v>0</x:v>
      </x:c>
      <x:c r="D571" s="12" t="n">
        <x:f>C571/'客户小时分布'!$C$8</x:f>
        <x:v>0</x:v>
      </x:c>
      <x:c r="E571" s="12" t="n">
        <x:f>C571/'客户小时分布'!$C$10</x:f>
        <x:v>0</x:v>
      </x:c>
      <x:c r="F571" s="8" t="n">
        <x:f>B571*C571</x:f>
        <x:v>0</x:v>
      </x:c>
      <x:c r="G571" s="12" t="n">
        <x:f>F571/'客户小时分布'!$C$6</x:f>
        <x:v>0</x:v>
      </x:c>
      <x:c r="H571" s="12" t="n">
        <x:f>SUM($C$8:C571)/'客户小时分布'!$C$8</x:f>
        <x:v>0.9999926787126249</x:v>
      </x:c>
    </x:row>
    <x:row r="572" ht="22" customHeight="1">
      <x:c r="A572" s="2"/>
      <x:c r="B572" s="8" t="n">
        <x:v>565</x:v>
      </x:c>
      <x:c r="C572" s="8" t="n">
        <x:v>0</x:v>
      </x:c>
      <x:c r="D572" s="12" t="n">
        <x:f>C572/'客户小时分布'!$C$8</x:f>
        <x:v>0</x:v>
      </x:c>
      <x:c r="E572" s="12" t="n">
        <x:f>C572/'客户小时分布'!$C$10</x:f>
        <x:v>0</x:v>
      </x:c>
      <x:c r="F572" s="8" t="n">
        <x:f>B572*C572</x:f>
        <x:v>0</x:v>
      </x:c>
      <x:c r="G572" s="12" t="n">
        <x:f>F572/'客户小时分布'!$C$6</x:f>
        <x:v>0</x:v>
      </x:c>
      <x:c r="H572" s="12" t="n">
        <x:f>SUM($C$8:C572)/'客户小时分布'!$C$8</x:f>
        <x:v>0.9999926787126249</x:v>
      </x:c>
    </x:row>
    <x:row r="573" ht="22" customHeight="1">
      <x:c r="A573" s="2"/>
      <x:c r="B573" s="8" t="n">
        <x:v>566</x:v>
      </x:c>
      <x:c r="C573" s="8" t="n">
        <x:v>0</x:v>
      </x:c>
      <x:c r="D573" s="12" t="n">
        <x:f>C573/'客户小时分布'!$C$8</x:f>
        <x:v>0</x:v>
      </x:c>
      <x:c r="E573" s="12" t="n">
        <x:f>C573/'客户小时分布'!$C$10</x:f>
        <x:v>0</x:v>
      </x:c>
      <x:c r="F573" s="8" t="n">
        <x:f>B573*C573</x:f>
        <x:v>0</x:v>
      </x:c>
      <x:c r="G573" s="12" t="n">
        <x:f>F573/'客户小时分布'!$C$6</x:f>
        <x:v>0</x:v>
      </x:c>
      <x:c r="H573" s="12" t="n">
        <x:f>SUM($C$8:C573)/'客户小时分布'!$C$8</x:f>
        <x:v>0.9999926787126249</x:v>
      </x:c>
    </x:row>
    <x:row r="574" ht="22" customHeight="1">
      <x:c r="A574" s="2"/>
      <x:c r="B574" s="8" t="n">
        <x:v>567</x:v>
      </x:c>
      <x:c r="C574" s="8" t="n">
        <x:v>0</x:v>
      </x:c>
      <x:c r="D574" s="12" t="n">
        <x:f>C574/'客户小时分布'!$C$8</x:f>
        <x:v>0</x:v>
      </x:c>
      <x:c r="E574" s="12" t="n">
        <x:f>C574/'客户小时分布'!$C$10</x:f>
        <x:v>0</x:v>
      </x:c>
      <x:c r="F574" s="8" t="n">
        <x:f>B574*C574</x:f>
        <x:v>0</x:v>
      </x:c>
      <x:c r="G574" s="12" t="n">
        <x:f>F574/'客户小时分布'!$C$6</x:f>
        <x:v>0</x:v>
      </x:c>
      <x:c r="H574" s="12" t="n">
        <x:f>SUM($C$8:C574)/'客户小时分布'!$C$8</x:f>
        <x:v>0.9999926787126249</x:v>
      </x:c>
    </x:row>
    <x:row r="575" ht="22" customHeight="1">
      <x:c r="A575" s="2"/>
      <x:c r="B575" s="8" t="n">
        <x:v>568</x:v>
      </x:c>
      <x:c r="C575" s="8" t="n">
        <x:v>0</x:v>
      </x:c>
      <x:c r="D575" s="12" t="n">
        <x:f>C575/'客户小时分布'!$C$8</x:f>
        <x:v>0</x:v>
      </x:c>
      <x:c r="E575" s="12" t="n">
        <x:f>C575/'客户小时分布'!$C$10</x:f>
        <x:v>0</x:v>
      </x:c>
      <x:c r="F575" s="8" t="n">
        <x:f>B575*C575</x:f>
        <x:v>0</x:v>
      </x:c>
      <x:c r="G575" s="12" t="n">
        <x:f>F575/'客户小时分布'!$C$6</x:f>
        <x:v>0</x:v>
      </x:c>
      <x:c r="H575" s="12" t="n">
        <x:f>SUM($C$8:C575)/'客户小时分布'!$C$8</x:f>
        <x:v>0.9999926787126249</x:v>
      </x:c>
    </x:row>
    <x:row r="576" ht="22" customHeight="1">
      <x:c r="A576" s="2"/>
      <x:c r="B576" s="8" t="n">
        <x:v>569</x:v>
      </x:c>
      <x:c r="C576" s="8" t="n">
        <x:v>0</x:v>
      </x:c>
      <x:c r="D576" s="12" t="n">
        <x:f>C576/'客户小时分布'!$C$8</x:f>
        <x:v>0</x:v>
      </x:c>
      <x:c r="E576" s="12" t="n">
        <x:f>C576/'客户小时分布'!$C$10</x:f>
        <x:v>0</x:v>
      </x:c>
      <x:c r="F576" s="8" t="n">
        <x:f>B576*C576</x:f>
        <x:v>0</x:v>
      </x:c>
      <x:c r="G576" s="12" t="n">
        <x:f>F576/'客户小时分布'!$C$6</x:f>
        <x:v>0</x:v>
      </x:c>
      <x:c r="H576" s="12" t="n">
        <x:f>SUM($C$8:C576)/'客户小时分布'!$C$8</x:f>
        <x:v>0.9999926787126249</x:v>
      </x:c>
    </x:row>
    <x:row r="577" ht="22" customHeight="1">
      <x:c r="A577" s="2"/>
      <x:c r="B577" s="8" t="n">
        <x:v>570</x:v>
      </x:c>
      <x:c r="C577" s="8" t="n">
        <x:v>0</x:v>
      </x:c>
      <x:c r="D577" s="12" t="n">
        <x:f>C577/'客户小时分布'!$C$8</x:f>
        <x:v>0</x:v>
      </x:c>
      <x:c r="E577" s="12" t="n">
        <x:f>C577/'客户小时分布'!$C$10</x:f>
        <x:v>0</x:v>
      </x:c>
      <x:c r="F577" s="8" t="n">
        <x:f>B577*C577</x:f>
        <x:v>0</x:v>
      </x:c>
      <x:c r="G577" s="12" t="n">
        <x:f>F577/'客户小时分布'!$C$6</x:f>
        <x:v>0</x:v>
      </x:c>
      <x:c r="H577" s="12" t="n">
        <x:f>SUM($C$8:C577)/'客户小时分布'!$C$8</x:f>
        <x:v>0.9999926787126249</x:v>
      </x:c>
    </x:row>
    <x:row r="578" ht="22" customHeight="1">
      <x:c r="A578" s="2"/>
      <x:c r="B578" s="8" t="n">
        <x:v>571</x:v>
      </x:c>
      <x:c r="C578" s="8" t="n">
        <x:v>0</x:v>
      </x:c>
      <x:c r="D578" s="12" t="n">
        <x:f>C578/'客户小时分布'!$C$8</x:f>
        <x:v>0</x:v>
      </x:c>
      <x:c r="E578" s="12" t="n">
        <x:f>C578/'客户小时分布'!$C$10</x:f>
        <x:v>0</x:v>
      </x:c>
      <x:c r="F578" s="8" t="n">
        <x:f>B578*C578</x:f>
        <x:v>0</x:v>
      </x:c>
      <x:c r="G578" s="12" t="n">
        <x:f>F578/'客户小时分布'!$C$6</x:f>
        <x:v>0</x:v>
      </x:c>
      <x:c r="H578" s="12" t="n">
        <x:f>SUM($C$8:C578)/'客户小时分布'!$C$8</x:f>
        <x:v>0.9999926787126249</x:v>
      </x:c>
    </x:row>
    <x:row r="579" ht="22" customHeight="1">
      <x:c r="A579" s="2"/>
      <x:c r="B579" s="8" t="n">
        <x:v>572</x:v>
      </x:c>
      <x:c r="C579" s="8" t="n">
        <x:v>0</x:v>
      </x:c>
      <x:c r="D579" s="12" t="n">
        <x:f>C579/'客户小时分布'!$C$8</x:f>
        <x:v>0</x:v>
      </x:c>
      <x:c r="E579" s="12" t="n">
        <x:f>C579/'客户小时分布'!$C$10</x:f>
        <x:v>0</x:v>
      </x:c>
      <x:c r="F579" s="8" t="n">
        <x:f>B579*C579</x:f>
        <x:v>0</x:v>
      </x:c>
      <x:c r="G579" s="12" t="n">
        <x:f>F579/'客户小时分布'!$C$6</x:f>
        <x:v>0</x:v>
      </x:c>
      <x:c r="H579" s="12" t="n">
        <x:f>SUM($C$8:C579)/'客户小时分布'!$C$8</x:f>
        <x:v>0.9999926787126249</x:v>
      </x:c>
    </x:row>
    <x:row r="580" ht="22" customHeight="1">
      <x:c r="A580" s="2"/>
      <x:c r="B580" s="8" t="n">
        <x:v>573</x:v>
      </x:c>
      <x:c r="C580" s="8" t="n">
        <x:v>0</x:v>
      </x:c>
      <x:c r="D580" s="12" t="n">
        <x:f>C580/'客户小时分布'!$C$8</x:f>
        <x:v>0</x:v>
      </x:c>
      <x:c r="E580" s="12" t="n">
        <x:f>C580/'客户小时分布'!$C$10</x:f>
        <x:v>0</x:v>
      </x:c>
      <x:c r="F580" s="8" t="n">
        <x:f>B580*C580</x:f>
        <x:v>0</x:v>
      </x:c>
      <x:c r="G580" s="12" t="n">
        <x:f>F580/'客户小时分布'!$C$6</x:f>
        <x:v>0</x:v>
      </x:c>
      <x:c r="H580" s="12" t="n">
        <x:f>SUM($C$8:C580)/'客户小时分布'!$C$8</x:f>
        <x:v>0.9999926787126249</x:v>
      </x:c>
    </x:row>
    <x:row r="581" ht="22" customHeight="1">
      <x:c r="A581" s="2"/>
      <x:c r="B581" s="8" t="n">
        <x:v>574</x:v>
      </x:c>
      <x:c r="C581" s="8" t="n">
        <x:v>0</x:v>
      </x:c>
      <x:c r="D581" s="12" t="n">
        <x:f>C581/'客户小时分布'!$C$8</x:f>
        <x:v>0</x:v>
      </x:c>
      <x:c r="E581" s="12" t="n">
        <x:f>C581/'客户小时分布'!$C$10</x:f>
        <x:v>0</x:v>
      </x:c>
      <x:c r="F581" s="8" t="n">
        <x:f>B581*C581</x:f>
        <x:v>0</x:v>
      </x:c>
      <x:c r="G581" s="12" t="n">
        <x:f>F581/'客户小时分布'!$C$6</x:f>
        <x:v>0</x:v>
      </x:c>
      <x:c r="H581" s="12" t="n">
        <x:f>SUM($C$8:C581)/'客户小时分布'!$C$8</x:f>
        <x:v>0.9999926787126249</x:v>
      </x:c>
    </x:row>
    <x:row r="582" ht="22" customHeight="1">
      <x:c r="A582" s="2"/>
      <x:c r="B582" s="8" t="n">
        <x:v>575</x:v>
      </x:c>
      <x:c r="C582" s="8" t="n">
        <x:v>2</x:v>
      </x:c>
      <x:c r="D582" s="12" t="n">
        <x:f>C582/'客户小时分布'!$C$8</x:f>
        <x:v>0.00000292851495006882</x:v>
      </x:c>
      <x:c r="E582" s="12" t="n">
        <x:f>C582/'客户小时分布'!$C$10</x:f>
        <x:v>2.688172043010753e-7</x:v>
      </x:c>
      <x:c r="F582" s="8" t="n">
        <x:f>B582*C582</x:f>
        <x:v>1150</x:v>
      </x:c>
      <x:c r="G582" s="12" t="n">
        <x:f>F582/'客户小时分布'!$C$6</x:f>
        <x:v>0.00009382465689138841</x:v>
      </x:c>
      <x:c r="H582" s="12" t="n">
        <x:f>SUM($C$8:C582)/'客户小时分布'!$C$8</x:f>
        <x:v>0.9999956072275749</x:v>
      </x:c>
    </x:row>
    <x:row r="583" ht="22" customHeight="1">
      <x:c r="A583" s="2"/>
      <x:c r="B583" s="8" t="n">
        <x:v>576</x:v>
      </x:c>
      <x:c r="C583" s="8" t="n">
        <x:v>0</x:v>
      </x:c>
      <x:c r="D583" s="12" t="n">
        <x:f>C583/'客户小时分布'!$C$8</x:f>
        <x:v>0</x:v>
      </x:c>
      <x:c r="E583" s="12" t="n">
        <x:f>C583/'客户小时分布'!$C$10</x:f>
        <x:v>0</x:v>
      </x:c>
      <x:c r="F583" s="8" t="n">
        <x:f>B583*C583</x:f>
        <x:v>0</x:v>
      </x:c>
      <x:c r="G583" s="12" t="n">
        <x:f>F583/'客户小时分布'!$C$6</x:f>
        <x:v>0</x:v>
      </x:c>
      <x:c r="H583" s="12" t="n">
        <x:f>SUM($C$8:C583)/'客户小时分布'!$C$8</x:f>
        <x:v>0.9999956072275749</x:v>
      </x:c>
    </x:row>
    <x:row r="584" ht="22" customHeight="1">
      <x:c r="A584" s="2"/>
      <x:c r="B584" s="8" t="n">
        <x:v>577</x:v>
      </x:c>
      <x:c r="C584" s="8" t="n">
        <x:v>0</x:v>
      </x:c>
      <x:c r="D584" s="12" t="n">
        <x:f>C584/'客户小时分布'!$C$8</x:f>
        <x:v>0</x:v>
      </x:c>
      <x:c r="E584" s="12" t="n">
        <x:f>C584/'客户小时分布'!$C$10</x:f>
        <x:v>0</x:v>
      </x:c>
      <x:c r="F584" s="8" t="n">
        <x:f>B584*C584</x:f>
        <x:v>0</x:v>
      </x:c>
      <x:c r="G584" s="12" t="n">
        <x:f>F584/'客户小时分布'!$C$6</x:f>
        <x:v>0</x:v>
      </x:c>
      <x:c r="H584" s="12" t="n">
        <x:f>SUM($C$8:C584)/'客户小时分布'!$C$8</x:f>
        <x:v>0.9999956072275749</x:v>
      </x:c>
    </x:row>
    <x:row r="585" ht="22" customHeight="1">
      <x:c r="A585" s="2"/>
      <x:c r="B585" s="8" t="n">
        <x:v>578</x:v>
      </x:c>
      <x:c r="C585" s="8" t="n">
        <x:v>0</x:v>
      </x:c>
      <x:c r="D585" s="12" t="n">
        <x:f>C585/'客户小时分布'!$C$8</x:f>
        <x:v>0</x:v>
      </x:c>
      <x:c r="E585" s="12" t="n">
        <x:f>C585/'客户小时分布'!$C$10</x:f>
        <x:v>0</x:v>
      </x:c>
      <x:c r="F585" s="8" t="n">
        <x:f>B585*C585</x:f>
        <x:v>0</x:v>
      </x:c>
      <x:c r="G585" s="12" t="n">
        <x:f>F585/'客户小时分布'!$C$6</x:f>
        <x:v>0</x:v>
      </x:c>
      <x:c r="H585" s="12" t="n">
        <x:f>SUM($C$8:C585)/'客户小时分布'!$C$8</x:f>
        <x:v>0.9999956072275749</x:v>
      </x:c>
    </x:row>
    <x:row r="586" ht="22" customHeight="1">
      <x:c r="A586" s="2"/>
      <x:c r="B586" s="8" t="n">
        <x:v>579</x:v>
      </x:c>
      <x:c r="C586" s="8" t="n">
        <x:v>0</x:v>
      </x:c>
      <x:c r="D586" s="12" t="n">
        <x:f>C586/'客户小时分布'!$C$8</x:f>
        <x:v>0</x:v>
      </x:c>
      <x:c r="E586" s="12" t="n">
        <x:f>C586/'客户小时分布'!$C$10</x:f>
        <x:v>0</x:v>
      </x:c>
      <x:c r="F586" s="8" t="n">
        <x:f>B586*C586</x:f>
        <x:v>0</x:v>
      </x:c>
      <x:c r="G586" s="12" t="n">
        <x:f>F586/'客户小时分布'!$C$6</x:f>
        <x:v>0</x:v>
      </x:c>
      <x:c r="H586" s="12" t="n">
        <x:f>SUM($C$8:C586)/'客户小时分布'!$C$8</x:f>
        <x:v>0.9999956072275749</x:v>
      </x:c>
    </x:row>
    <x:row r="587" ht="22" customHeight="1">
      <x:c r="A587" s="2"/>
      <x:c r="B587" s="8" t="n">
        <x:v>580</x:v>
      </x:c>
      <x:c r="C587" s="8" t="n">
        <x:v>0</x:v>
      </x:c>
      <x:c r="D587" s="12" t="n">
        <x:f>C587/'客户小时分布'!$C$8</x:f>
        <x:v>0</x:v>
      </x:c>
      <x:c r="E587" s="12" t="n">
        <x:f>C587/'客户小时分布'!$C$10</x:f>
        <x:v>0</x:v>
      </x:c>
      <x:c r="F587" s="8" t="n">
        <x:f>B587*C587</x:f>
        <x:v>0</x:v>
      </x:c>
      <x:c r="G587" s="12" t="n">
        <x:f>F587/'客户小时分布'!$C$6</x:f>
        <x:v>0</x:v>
      </x:c>
      <x:c r="H587" s="12" t="n">
        <x:f>SUM($C$8:C587)/'客户小时分布'!$C$8</x:f>
        <x:v>0.9999956072275749</x:v>
      </x:c>
    </x:row>
    <x:row r="588" ht="22" customHeight="1">
      <x:c r="A588" s="2"/>
      <x:c r="B588" s="8" t="n">
        <x:v>581</x:v>
      </x:c>
      <x:c r="C588" s="8" t="n">
        <x:v>0</x:v>
      </x:c>
      <x:c r="D588" s="12" t="n">
        <x:f>C588/'客户小时分布'!$C$8</x:f>
        <x:v>0</x:v>
      </x:c>
      <x:c r="E588" s="12" t="n">
        <x:f>C588/'客户小时分布'!$C$10</x:f>
        <x:v>0</x:v>
      </x:c>
      <x:c r="F588" s="8" t="n">
        <x:f>B588*C588</x:f>
        <x:v>0</x:v>
      </x:c>
      <x:c r="G588" s="12" t="n">
        <x:f>F588/'客户小时分布'!$C$6</x:f>
        <x:v>0</x:v>
      </x:c>
      <x:c r="H588" s="12" t="n">
        <x:f>SUM($C$8:C588)/'客户小时分布'!$C$8</x:f>
        <x:v>0.9999956072275749</x:v>
      </x:c>
    </x:row>
    <x:row r="589" ht="22" customHeight="1">
      <x:c r="A589" s="2"/>
      <x:c r="B589" s="8" t="n">
        <x:v>582</x:v>
      </x:c>
      <x:c r="C589" s="8" t="n">
        <x:v>0</x:v>
      </x:c>
      <x:c r="D589" s="12" t="n">
        <x:f>C589/'客户小时分布'!$C$8</x:f>
        <x:v>0</x:v>
      </x:c>
      <x:c r="E589" s="12" t="n">
        <x:f>C589/'客户小时分布'!$C$10</x:f>
        <x:v>0</x:v>
      </x:c>
      <x:c r="F589" s="8" t="n">
        <x:f>B589*C589</x:f>
        <x:v>0</x:v>
      </x:c>
      <x:c r="G589" s="12" t="n">
        <x:f>F589/'客户小时分布'!$C$6</x:f>
        <x:v>0</x:v>
      </x:c>
      <x:c r="H589" s="12" t="n">
        <x:f>SUM($C$8:C589)/'客户小时分布'!$C$8</x:f>
        <x:v>0.9999956072275749</x:v>
      </x:c>
    </x:row>
    <x:row r="590" ht="22" customHeight="1">
      <x:c r="A590" s="2"/>
      <x:c r="B590" s="8" t="n">
        <x:v>583</x:v>
      </x:c>
      <x:c r="C590" s="8" t="n">
        <x:v>0</x:v>
      </x:c>
      <x:c r="D590" s="12" t="n">
        <x:f>C590/'客户小时分布'!$C$8</x:f>
        <x:v>0</x:v>
      </x:c>
      <x:c r="E590" s="12" t="n">
        <x:f>C590/'客户小时分布'!$C$10</x:f>
        <x:v>0</x:v>
      </x:c>
      <x:c r="F590" s="8" t="n">
        <x:f>B590*C590</x:f>
        <x:v>0</x:v>
      </x:c>
      <x:c r="G590" s="12" t="n">
        <x:f>F590/'客户小时分布'!$C$6</x:f>
        <x:v>0</x:v>
      </x:c>
      <x:c r="H590" s="12" t="n">
        <x:f>SUM($C$8:C590)/'客户小时分布'!$C$8</x:f>
        <x:v>0.9999956072275749</x:v>
      </x:c>
    </x:row>
    <x:row r="591" ht="22" customHeight="1">
      <x:c r="A591" s="2"/>
      <x:c r="B591" s="8" t="n">
        <x:v>584</x:v>
      </x:c>
      <x:c r="C591" s="8" t="n">
        <x:v>0</x:v>
      </x:c>
      <x:c r="D591" s="12" t="n">
        <x:f>C591/'客户小时分布'!$C$8</x:f>
        <x:v>0</x:v>
      </x:c>
      <x:c r="E591" s="12" t="n">
        <x:f>C591/'客户小时分布'!$C$10</x:f>
        <x:v>0</x:v>
      </x:c>
      <x:c r="F591" s="8" t="n">
        <x:f>B591*C591</x:f>
        <x:v>0</x:v>
      </x:c>
      <x:c r="G591" s="12" t="n">
        <x:f>F591/'客户小时分布'!$C$6</x:f>
        <x:v>0</x:v>
      </x:c>
      <x:c r="H591" s="12" t="n">
        <x:f>SUM($C$8:C591)/'客户小时分布'!$C$8</x:f>
        <x:v>0.9999956072275749</x:v>
      </x:c>
    </x:row>
    <x:row r="592" ht="22" customHeight="1">
      <x:c r="A592" s="2"/>
      <x:c r="B592" s="8" t="n">
        <x:v>585</x:v>
      </x:c>
      <x:c r="C592" s="8" t="n">
        <x:v>0</x:v>
      </x:c>
      <x:c r="D592" s="12" t="n">
        <x:f>C592/'客户小时分布'!$C$8</x:f>
        <x:v>0</x:v>
      </x:c>
      <x:c r="E592" s="12" t="n">
        <x:f>C592/'客户小时分布'!$C$10</x:f>
        <x:v>0</x:v>
      </x:c>
      <x:c r="F592" s="8" t="n">
        <x:f>B592*C592</x:f>
        <x:v>0</x:v>
      </x:c>
      <x:c r="G592" s="12" t="n">
        <x:f>F592/'客户小时分布'!$C$6</x:f>
        <x:v>0</x:v>
      </x:c>
      <x:c r="H592" s="12" t="n">
        <x:f>SUM($C$8:C592)/'客户小时分布'!$C$8</x:f>
        <x:v>0.9999956072275749</x:v>
      </x:c>
    </x:row>
    <x:row r="593" ht="22" customHeight="1">
      <x:c r="A593" s="2"/>
      <x:c r="B593" s="8" t="n">
        <x:v>586</x:v>
      </x:c>
      <x:c r="C593" s="8" t="n">
        <x:v>0</x:v>
      </x:c>
      <x:c r="D593" s="12" t="n">
        <x:f>C593/'客户小时分布'!$C$8</x:f>
        <x:v>0</x:v>
      </x:c>
      <x:c r="E593" s="12" t="n">
        <x:f>C593/'客户小时分布'!$C$10</x:f>
        <x:v>0</x:v>
      </x:c>
      <x:c r="F593" s="8" t="n">
        <x:f>B593*C593</x:f>
        <x:v>0</x:v>
      </x:c>
      <x:c r="G593" s="12" t="n">
        <x:f>F593/'客户小时分布'!$C$6</x:f>
        <x:v>0</x:v>
      </x:c>
      <x:c r="H593" s="12" t="n">
        <x:f>SUM($C$8:C593)/'客户小时分布'!$C$8</x:f>
        <x:v>0.9999956072275749</x:v>
      </x:c>
    </x:row>
    <x:row r="594" ht="22" customHeight="1">
      <x:c r="A594" s="2"/>
      <x:c r="B594" s="8" t="n">
        <x:v>587</x:v>
      </x:c>
      <x:c r="C594" s="8" t="n">
        <x:v>0</x:v>
      </x:c>
      <x:c r="D594" s="12" t="n">
        <x:f>C594/'客户小时分布'!$C$8</x:f>
        <x:v>0</x:v>
      </x:c>
      <x:c r="E594" s="12" t="n">
        <x:f>C594/'客户小时分布'!$C$10</x:f>
        <x:v>0</x:v>
      </x:c>
      <x:c r="F594" s="8" t="n">
        <x:f>B594*C594</x:f>
        <x:v>0</x:v>
      </x:c>
      <x:c r="G594" s="12" t="n">
        <x:f>F594/'客户小时分布'!$C$6</x:f>
        <x:v>0</x:v>
      </x:c>
      <x:c r="H594" s="12" t="n">
        <x:f>SUM($C$8:C594)/'客户小时分布'!$C$8</x:f>
        <x:v>0.9999956072275749</x:v>
      </x:c>
    </x:row>
    <x:row r="595" ht="22" customHeight="1">
      <x:c r="A595" s="2"/>
      <x:c r="B595" s="8" t="n">
        <x:v>588</x:v>
      </x:c>
      <x:c r="C595" s="8" t="n">
        <x:v>0</x:v>
      </x:c>
      <x:c r="D595" s="12" t="n">
        <x:f>C595/'客户小时分布'!$C$8</x:f>
        <x:v>0</x:v>
      </x:c>
      <x:c r="E595" s="12" t="n">
        <x:f>C595/'客户小时分布'!$C$10</x:f>
        <x:v>0</x:v>
      </x:c>
      <x:c r="F595" s="8" t="n">
        <x:f>B595*C595</x:f>
        <x:v>0</x:v>
      </x:c>
      <x:c r="G595" s="12" t="n">
        <x:f>F595/'客户小时分布'!$C$6</x:f>
        <x:v>0</x:v>
      </x:c>
      <x:c r="H595" s="12" t="n">
        <x:f>SUM($C$8:C595)/'客户小时分布'!$C$8</x:f>
        <x:v>0.9999956072275749</x:v>
      </x:c>
    </x:row>
    <x:row r="596" ht="22" customHeight="1">
      <x:c r="A596" s="2"/>
      <x:c r="B596" s="8" t="n">
        <x:v>589</x:v>
      </x:c>
      <x:c r="C596" s="8" t="n">
        <x:v>0</x:v>
      </x:c>
      <x:c r="D596" s="12" t="n">
        <x:f>C596/'客户小时分布'!$C$8</x:f>
        <x:v>0</x:v>
      </x:c>
      <x:c r="E596" s="12" t="n">
        <x:f>C596/'客户小时分布'!$C$10</x:f>
        <x:v>0</x:v>
      </x:c>
      <x:c r="F596" s="8" t="n">
        <x:f>B596*C596</x:f>
        <x:v>0</x:v>
      </x:c>
      <x:c r="G596" s="12" t="n">
        <x:f>F596/'客户小时分布'!$C$6</x:f>
        <x:v>0</x:v>
      </x:c>
      <x:c r="H596" s="12" t="n">
        <x:f>SUM($C$8:C596)/'客户小时分布'!$C$8</x:f>
        <x:v>0.9999956072275749</x:v>
      </x:c>
    </x:row>
    <x:row r="597" ht="22" customHeight="1">
      <x:c r="A597" s="2"/>
      <x:c r="B597" s="8" t="n">
        <x:v>590</x:v>
      </x:c>
      <x:c r="C597" s="8" t="n">
        <x:v>0</x:v>
      </x:c>
      <x:c r="D597" s="12" t="n">
        <x:f>C597/'客户小时分布'!$C$8</x:f>
        <x:v>0</x:v>
      </x:c>
      <x:c r="E597" s="12" t="n">
        <x:f>C597/'客户小时分布'!$C$10</x:f>
        <x:v>0</x:v>
      </x:c>
      <x:c r="F597" s="8" t="n">
        <x:f>B597*C597</x:f>
        <x:v>0</x:v>
      </x:c>
      <x:c r="G597" s="12" t="n">
        <x:f>F597/'客户小时分布'!$C$6</x:f>
        <x:v>0</x:v>
      </x:c>
      <x:c r="H597" s="12" t="n">
        <x:f>SUM($C$8:C597)/'客户小时分布'!$C$8</x:f>
        <x:v>0.9999956072275749</x:v>
      </x:c>
    </x:row>
    <x:row r="598" ht="22" customHeight="1">
      <x:c r="A598" s="2"/>
      <x:c r="B598" s="8" t="n">
        <x:v>591</x:v>
      </x:c>
      <x:c r="C598" s="8" t="n">
        <x:v>0</x:v>
      </x:c>
      <x:c r="D598" s="12" t="n">
        <x:f>C598/'客户小时分布'!$C$8</x:f>
        <x:v>0</x:v>
      </x:c>
      <x:c r="E598" s="12" t="n">
        <x:f>C598/'客户小时分布'!$C$10</x:f>
        <x:v>0</x:v>
      </x:c>
      <x:c r="F598" s="8" t="n">
        <x:f>B598*C598</x:f>
        <x:v>0</x:v>
      </x:c>
      <x:c r="G598" s="12" t="n">
        <x:f>F598/'客户小时分布'!$C$6</x:f>
        <x:v>0</x:v>
      </x:c>
      <x:c r="H598" s="12" t="n">
        <x:f>SUM($C$8:C598)/'客户小时分布'!$C$8</x:f>
        <x:v>0.9999956072275749</x:v>
      </x:c>
    </x:row>
    <x:row r="599" ht="22" customHeight="1">
      <x:c r="A599" s="2"/>
      <x:c r="B599" s="8" t="n">
        <x:v>592</x:v>
      </x:c>
      <x:c r="C599" s="8" t="n">
        <x:v>0</x:v>
      </x:c>
      <x:c r="D599" s="12" t="n">
        <x:f>C599/'客户小时分布'!$C$8</x:f>
        <x:v>0</x:v>
      </x:c>
      <x:c r="E599" s="12" t="n">
        <x:f>C599/'客户小时分布'!$C$10</x:f>
        <x:v>0</x:v>
      </x:c>
      <x:c r="F599" s="8" t="n">
        <x:f>B599*C599</x:f>
        <x:v>0</x:v>
      </x:c>
      <x:c r="G599" s="12" t="n">
        <x:f>F599/'客户小时分布'!$C$6</x:f>
        <x:v>0</x:v>
      </x:c>
      <x:c r="H599" s="12" t="n">
        <x:f>SUM($C$8:C599)/'客户小时分布'!$C$8</x:f>
        <x:v>0.9999956072275749</x:v>
      </x:c>
    </x:row>
    <x:row r="600" ht="22" customHeight="1">
      <x:c r="A600" s="2"/>
      <x:c r="B600" s="8" t="n">
        <x:v>593</x:v>
      </x:c>
      <x:c r="C600" s="8" t="n">
        <x:v>0</x:v>
      </x:c>
      <x:c r="D600" s="12" t="n">
        <x:f>C600/'客户小时分布'!$C$8</x:f>
        <x:v>0</x:v>
      </x:c>
      <x:c r="E600" s="12" t="n">
        <x:f>C600/'客户小时分布'!$C$10</x:f>
        <x:v>0</x:v>
      </x:c>
      <x:c r="F600" s="8" t="n">
        <x:f>B600*C600</x:f>
        <x:v>0</x:v>
      </x:c>
      <x:c r="G600" s="12" t="n">
        <x:f>F600/'客户小时分布'!$C$6</x:f>
        <x:v>0</x:v>
      </x:c>
      <x:c r="H600" s="12" t="n">
        <x:f>SUM($C$8:C600)/'客户小时分布'!$C$8</x:f>
        <x:v>0.9999956072275749</x:v>
      </x:c>
    </x:row>
    <x:row r="601" ht="22" customHeight="1">
      <x:c r="A601" s="2"/>
      <x:c r="B601" s="8" t="n">
        <x:v>594</x:v>
      </x:c>
      <x:c r="C601" s="8" t="n">
        <x:v>0</x:v>
      </x:c>
      <x:c r="D601" s="12" t="n">
        <x:f>C601/'客户小时分布'!$C$8</x:f>
        <x:v>0</x:v>
      </x:c>
      <x:c r="E601" s="12" t="n">
        <x:f>C601/'客户小时分布'!$C$10</x:f>
        <x:v>0</x:v>
      </x:c>
      <x:c r="F601" s="8" t="n">
        <x:f>B601*C601</x:f>
        <x:v>0</x:v>
      </x:c>
      <x:c r="G601" s="12" t="n">
        <x:f>F601/'客户小时分布'!$C$6</x:f>
        <x:v>0</x:v>
      </x:c>
      <x:c r="H601" s="12" t="n">
        <x:f>SUM($C$8:C601)/'客户小时分布'!$C$8</x:f>
        <x:v>0.9999956072275749</x:v>
      </x:c>
    </x:row>
    <x:row r="602" ht="22" customHeight="1">
      <x:c r="A602" s="2"/>
      <x:c r="B602" s="8" t="n">
        <x:v>595</x:v>
      </x:c>
      <x:c r="C602" s="8" t="n">
        <x:v>0</x:v>
      </x:c>
      <x:c r="D602" s="12" t="n">
        <x:f>C602/'客户小时分布'!$C$8</x:f>
        <x:v>0</x:v>
      </x:c>
      <x:c r="E602" s="12" t="n">
        <x:f>C602/'客户小时分布'!$C$10</x:f>
        <x:v>0</x:v>
      </x:c>
      <x:c r="F602" s="8" t="n">
        <x:f>B602*C602</x:f>
        <x:v>0</x:v>
      </x:c>
      <x:c r="G602" s="12" t="n">
        <x:f>F602/'客户小时分布'!$C$6</x:f>
        <x:v>0</x:v>
      </x:c>
      <x:c r="H602" s="12" t="n">
        <x:f>SUM($C$8:C602)/'客户小时分布'!$C$8</x:f>
        <x:v>0.9999956072275749</x:v>
      </x:c>
    </x:row>
    <x:row r="603" ht="22" customHeight="1">
      <x:c r="A603" s="2"/>
      <x:c r="B603" s="8" t="n">
        <x:v>596</x:v>
      </x:c>
      <x:c r="C603" s="8" t="n">
        <x:v>0</x:v>
      </x:c>
      <x:c r="D603" s="12" t="n">
        <x:f>C603/'客户小时分布'!$C$8</x:f>
        <x:v>0</x:v>
      </x:c>
      <x:c r="E603" s="12" t="n">
        <x:f>C603/'客户小时分布'!$C$10</x:f>
        <x:v>0</x:v>
      </x:c>
      <x:c r="F603" s="8" t="n">
        <x:f>B603*C603</x:f>
        <x:v>0</x:v>
      </x:c>
      <x:c r="G603" s="12" t="n">
        <x:f>F603/'客户小时分布'!$C$6</x:f>
        <x:v>0</x:v>
      </x:c>
      <x:c r="H603" s="12" t="n">
        <x:f>SUM($C$8:C603)/'客户小时分布'!$C$8</x:f>
        <x:v>0.9999956072275749</x:v>
      </x:c>
    </x:row>
    <x:row r="604" ht="22" customHeight="1">
      <x:c r="A604" s="2"/>
      <x:c r="B604" s="8" t="n">
        <x:v>597</x:v>
      </x:c>
      <x:c r="C604" s="8" t="n">
        <x:v>0</x:v>
      </x:c>
      <x:c r="D604" s="12" t="n">
        <x:f>C604/'客户小时分布'!$C$8</x:f>
        <x:v>0</x:v>
      </x:c>
      <x:c r="E604" s="12" t="n">
        <x:f>C604/'客户小时分布'!$C$10</x:f>
        <x:v>0</x:v>
      </x:c>
      <x:c r="F604" s="8" t="n">
        <x:f>B604*C604</x:f>
        <x:v>0</x:v>
      </x:c>
      <x:c r="G604" s="12" t="n">
        <x:f>F604/'客户小时分布'!$C$6</x:f>
        <x:v>0</x:v>
      </x:c>
      <x:c r="H604" s="12" t="n">
        <x:f>SUM($C$8:C604)/'客户小时分布'!$C$8</x:f>
        <x:v>0.9999956072275749</x:v>
      </x:c>
    </x:row>
    <x:row r="605" ht="22" customHeight="1">
      <x:c r="A605" s="2"/>
      <x:c r="B605" s="8" t="n">
        <x:v>598</x:v>
      </x:c>
      <x:c r="C605" s="8" t="n">
        <x:v>0</x:v>
      </x:c>
      <x:c r="D605" s="12" t="n">
        <x:f>C605/'客户小时分布'!$C$8</x:f>
        <x:v>0</x:v>
      </x:c>
      <x:c r="E605" s="12" t="n">
        <x:f>C605/'客户小时分布'!$C$10</x:f>
        <x:v>0</x:v>
      </x:c>
      <x:c r="F605" s="8" t="n">
        <x:f>B605*C605</x:f>
        <x:v>0</x:v>
      </x:c>
      <x:c r="G605" s="12" t="n">
        <x:f>F605/'客户小时分布'!$C$6</x:f>
        <x:v>0</x:v>
      </x:c>
      <x:c r="H605" s="12" t="n">
        <x:f>SUM($C$8:C605)/'客户小时分布'!$C$8</x:f>
        <x:v>0.9999956072275749</x:v>
      </x:c>
    </x:row>
    <x:row r="606" ht="22" customHeight="1">
      <x:c r="A606" s="2"/>
      <x:c r="B606" s="8" t="n">
        <x:v>599</x:v>
      </x:c>
      <x:c r="C606" s="8" t="n">
        <x:v>0</x:v>
      </x:c>
      <x:c r="D606" s="12" t="n">
        <x:f>C606/'客户小时分布'!$C$8</x:f>
        <x:v>0</x:v>
      </x:c>
      <x:c r="E606" s="12" t="n">
        <x:f>C606/'客户小时分布'!$C$10</x:f>
        <x:v>0</x:v>
      </x:c>
      <x:c r="F606" s="8" t="n">
        <x:f>B606*C606</x:f>
        <x:v>0</x:v>
      </x:c>
      <x:c r="G606" s="12" t="n">
        <x:f>F606/'客户小时分布'!$C$6</x:f>
        <x:v>0</x:v>
      </x:c>
      <x:c r="H606" s="12" t="n">
        <x:f>SUM($C$8:C606)/'客户小时分布'!$C$8</x:f>
        <x:v>0.9999956072275749</x:v>
      </x:c>
    </x:row>
    <x:row r="607" ht="22" customHeight="1">
      <x:c r="A607" s="2"/>
      <x:c r="B607" s="8" t="n">
        <x:v>600</x:v>
      </x:c>
      <x:c r="C607" s="8" t="n">
        <x:v>0</x:v>
      </x:c>
      <x:c r="D607" s="12" t="n">
        <x:f>C607/'客户小时分布'!$C$8</x:f>
        <x:v>0</x:v>
      </x:c>
      <x:c r="E607" s="12" t="n">
        <x:f>C607/'客户小时分布'!$C$10</x:f>
        <x:v>0</x:v>
      </x:c>
      <x:c r="F607" s="8" t="n">
        <x:f>B607*C607</x:f>
        <x:v>0</x:v>
      </x:c>
      <x:c r="G607" s="12" t="n">
        <x:f>F607/'客户小时分布'!$C$6</x:f>
        <x:v>0</x:v>
      </x:c>
      <x:c r="H607" s="12" t="n">
        <x:f>SUM($C$8:C607)/'客户小时分布'!$C$8</x:f>
        <x:v>0.9999956072275749</x:v>
      </x:c>
    </x:row>
    <x:row r="608" ht="22" customHeight="1">
      <x:c r="A608" s="2"/>
      <x:c r="B608" s="8" t="n">
        <x:v>601</x:v>
      </x:c>
      <x:c r="C608" s="8" t="n">
        <x:v>0</x:v>
      </x:c>
      <x:c r="D608" s="12" t="n">
        <x:f>C608/'客户小时分布'!$C$8</x:f>
        <x:v>0</x:v>
      </x:c>
      <x:c r="E608" s="12" t="n">
        <x:f>C608/'客户小时分布'!$C$10</x:f>
        <x:v>0</x:v>
      </x:c>
      <x:c r="F608" s="8" t="n">
        <x:f>B608*C608</x:f>
        <x:v>0</x:v>
      </x:c>
      <x:c r="G608" s="12" t="n">
        <x:f>F608/'客户小时分布'!$C$6</x:f>
        <x:v>0</x:v>
      </x:c>
      <x:c r="H608" s="12" t="n">
        <x:f>SUM($C$8:C608)/'客户小时分布'!$C$8</x:f>
        <x:v>0.9999956072275749</x:v>
      </x:c>
    </x:row>
    <x:row r="609" ht="22" customHeight="1">
      <x:c r="A609" s="2"/>
      <x:c r="B609" s="8" t="n">
        <x:v>602</x:v>
      </x:c>
      <x:c r="C609" s="8" t="n">
        <x:v>0</x:v>
      </x:c>
      <x:c r="D609" s="12" t="n">
        <x:f>C609/'客户小时分布'!$C$8</x:f>
        <x:v>0</x:v>
      </x:c>
      <x:c r="E609" s="12" t="n">
        <x:f>C609/'客户小时分布'!$C$10</x:f>
        <x:v>0</x:v>
      </x:c>
      <x:c r="F609" s="8" t="n">
        <x:f>B609*C609</x:f>
        <x:v>0</x:v>
      </x:c>
      <x:c r="G609" s="12" t="n">
        <x:f>F609/'客户小时分布'!$C$6</x:f>
        <x:v>0</x:v>
      </x:c>
      <x:c r="H609" s="12" t="n">
        <x:f>SUM($C$8:C609)/'客户小时分布'!$C$8</x:f>
        <x:v>0.9999956072275749</x:v>
      </x:c>
    </x:row>
    <x:row r="610" ht="22" customHeight="1">
      <x:c r="A610" s="2"/>
      <x:c r="B610" s="8" t="n">
        <x:v>603</x:v>
      </x:c>
      <x:c r="C610" s="8" t="n">
        <x:v>0</x:v>
      </x:c>
      <x:c r="D610" s="12" t="n">
        <x:f>C610/'客户小时分布'!$C$8</x:f>
        <x:v>0</x:v>
      </x:c>
      <x:c r="E610" s="12" t="n">
        <x:f>C610/'客户小时分布'!$C$10</x:f>
        <x:v>0</x:v>
      </x:c>
      <x:c r="F610" s="8" t="n">
        <x:f>B610*C610</x:f>
        <x:v>0</x:v>
      </x:c>
      <x:c r="G610" s="12" t="n">
        <x:f>F610/'客户小时分布'!$C$6</x:f>
        <x:v>0</x:v>
      </x:c>
      <x:c r="H610" s="12" t="n">
        <x:f>SUM($C$8:C610)/'客户小时分布'!$C$8</x:f>
        <x:v>0.9999956072275749</x:v>
      </x:c>
    </x:row>
    <x:row r="611" ht="22" customHeight="1">
      <x:c r="A611" s="2"/>
      <x:c r="B611" s="8" t="n">
        <x:v>604</x:v>
      </x:c>
      <x:c r="C611" s="8" t="n">
        <x:v>0</x:v>
      </x:c>
      <x:c r="D611" s="12" t="n">
        <x:f>C611/'客户小时分布'!$C$8</x:f>
        <x:v>0</x:v>
      </x:c>
      <x:c r="E611" s="12" t="n">
        <x:f>C611/'客户小时分布'!$C$10</x:f>
        <x:v>0</x:v>
      </x:c>
      <x:c r="F611" s="8" t="n">
        <x:f>B611*C611</x:f>
        <x:v>0</x:v>
      </x:c>
      <x:c r="G611" s="12" t="n">
        <x:f>F611/'客户小时分布'!$C$6</x:f>
        <x:v>0</x:v>
      </x:c>
      <x:c r="H611" s="12" t="n">
        <x:f>SUM($C$8:C611)/'客户小时分布'!$C$8</x:f>
        <x:v>0.9999956072275749</x:v>
      </x:c>
    </x:row>
    <x:row r="612" ht="22" customHeight="1">
      <x:c r="A612" s="2"/>
      <x:c r="B612" s="8" t="n">
        <x:v>605</x:v>
      </x:c>
      <x:c r="C612" s="8" t="n">
        <x:v>0</x:v>
      </x:c>
      <x:c r="D612" s="12" t="n">
        <x:f>C612/'客户小时分布'!$C$8</x:f>
        <x:v>0</x:v>
      </x:c>
      <x:c r="E612" s="12" t="n">
        <x:f>C612/'客户小时分布'!$C$10</x:f>
        <x:v>0</x:v>
      </x:c>
      <x:c r="F612" s="8" t="n">
        <x:f>B612*C612</x:f>
        <x:v>0</x:v>
      </x:c>
      <x:c r="G612" s="12" t="n">
        <x:f>F612/'客户小时分布'!$C$6</x:f>
        <x:v>0</x:v>
      </x:c>
      <x:c r="H612" s="12" t="n">
        <x:f>SUM($C$8:C612)/'客户小时分布'!$C$8</x:f>
        <x:v>0.9999956072275749</x:v>
      </x:c>
    </x:row>
    <x:row r="613" ht="22" customHeight="1">
      <x:c r="A613" s="2"/>
      <x:c r="B613" s="8" t="n">
        <x:v>606</x:v>
      </x:c>
      <x:c r="C613" s="8" t="n">
        <x:v>0</x:v>
      </x:c>
      <x:c r="D613" s="12" t="n">
        <x:f>C613/'客户小时分布'!$C$8</x:f>
        <x:v>0</x:v>
      </x:c>
      <x:c r="E613" s="12" t="n">
        <x:f>C613/'客户小时分布'!$C$10</x:f>
        <x:v>0</x:v>
      </x:c>
      <x:c r="F613" s="8" t="n">
        <x:f>B613*C613</x:f>
        <x:v>0</x:v>
      </x:c>
      <x:c r="G613" s="12" t="n">
        <x:f>F613/'客户小时分布'!$C$6</x:f>
        <x:v>0</x:v>
      </x:c>
      <x:c r="H613" s="12" t="n">
        <x:f>SUM($C$8:C613)/'客户小时分布'!$C$8</x:f>
        <x:v>0.9999956072275749</x:v>
      </x:c>
    </x:row>
    <x:row r="614" ht="22" customHeight="1">
      <x:c r="A614" s="2"/>
      <x:c r="B614" s="8" t="n">
        <x:v>607</x:v>
      </x:c>
      <x:c r="C614" s="8" t="n">
        <x:v>0</x:v>
      </x:c>
      <x:c r="D614" s="12" t="n">
        <x:f>C614/'客户小时分布'!$C$8</x:f>
        <x:v>0</x:v>
      </x:c>
      <x:c r="E614" s="12" t="n">
        <x:f>C614/'客户小时分布'!$C$10</x:f>
        <x:v>0</x:v>
      </x:c>
      <x:c r="F614" s="8" t="n">
        <x:f>B614*C614</x:f>
        <x:v>0</x:v>
      </x:c>
      <x:c r="G614" s="12" t="n">
        <x:f>F614/'客户小时分布'!$C$6</x:f>
        <x:v>0</x:v>
      </x:c>
      <x:c r="H614" s="12" t="n">
        <x:f>SUM($C$8:C614)/'客户小时分布'!$C$8</x:f>
        <x:v>0.9999956072275749</x:v>
      </x:c>
    </x:row>
    <x:row r="615" ht="22" customHeight="1">
      <x:c r="A615" s="2"/>
      <x:c r="B615" s="8" t="n">
        <x:v>608</x:v>
      </x:c>
      <x:c r="C615" s="8" t="n">
        <x:v>0</x:v>
      </x:c>
      <x:c r="D615" s="12" t="n">
        <x:f>C615/'客户小时分布'!$C$8</x:f>
        <x:v>0</x:v>
      </x:c>
      <x:c r="E615" s="12" t="n">
        <x:f>C615/'客户小时分布'!$C$10</x:f>
        <x:v>0</x:v>
      </x:c>
      <x:c r="F615" s="8" t="n">
        <x:f>B615*C615</x:f>
        <x:v>0</x:v>
      </x:c>
      <x:c r="G615" s="12" t="n">
        <x:f>F615/'客户小时分布'!$C$6</x:f>
        <x:v>0</x:v>
      </x:c>
      <x:c r="H615" s="12" t="n">
        <x:f>SUM($C$8:C615)/'客户小时分布'!$C$8</x:f>
        <x:v>0.9999956072275749</x:v>
      </x:c>
    </x:row>
    <x:row r="616" ht="22" customHeight="1">
      <x:c r="A616" s="2"/>
      <x:c r="B616" s="8" t="n">
        <x:v>609</x:v>
      </x:c>
      <x:c r="C616" s="8" t="n">
        <x:v>0</x:v>
      </x:c>
      <x:c r="D616" s="12" t="n">
        <x:f>C616/'客户小时分布'!$C$8</x:f>
        <x:v>0</x:v>
      </x:c>
      <x:c r="E616" s="12" t="n">
        <x:f>C616/'客户小时分布'!$C$10</x:f>
        <x:v>0</x:v>
      </x:c>
      <x:c r="F616" s="8" t="n">
        <x:f>B616*C616</x:f>
        <x:v>0</x:v>
      </x:c>
      <x:c r="G616" s="12" t="n">
        <x:f>F616/'客户小时分布'!$C$6</x:f>
        <x:v>0</x:v>
      </x:c>
      <x:c r="H616" s="12" t="n">
        <x:f>SUM($C$8:C616)/'客户小时分布'!$C$8</x:f>
        <x:v>0.9999956072275749</x:v>
      </x:c>
    </x:row>
    <x:row r="617" ht="22" customHeight="1">
      <x:c r="A617" s="2"/>
      <x:c r="B617" s="8" t="n">
        <x:v>610</x:v>
      </x:c>
      <x:c r="C617" s="8" t="n">
        <x:v>0</x:v>
      </x:c>
      <x:c r="D617" s="12" t="n">
        <x:f>C617/'客户小时分布'!$C$8</x:f>
        <x:v>0</x:v>
      </x:c>
      <x:c r="E617" s="12" t="n">
        <x:f>C617/'客户小时分布'!$C$10</x:f>
        <x:v>0</x:v>
      </x:c>
      <x:c r="F617" s="8" t="n">
        <x:f>B617*C617</x:f>
        <x:v>0</x:v>
      </x:c>
      <x:c r="G617" s="12" t="n">
        <x:f>F617/'客户小时分布'!$C$6</x:f>
        <x:v>0</x:v>
      </x:c>
      <x:c r="H617" s="12" t="n">
        <x:f>SUM($C$8:C617)/'客户小时分布'!$C$8</x:f>
        <x:v>0.9999956072275749</x:v>
      </x:c>
    </x:row>
    <x:row r="618" ht="22" customHeight="1">
      <x:c r="A618" s="2"/>
      <x:c r="B618" s="8" t="n">
        <x:v>611</x:v>
      </x:c>
      <x:c r="C618" s="8" t="n">
        <x:v>0</x:v>
      </x:c>
      <x:c r="D618" s="12" t="n">
        <x:f>C618/'客户小时分布'!$C$8</x:f>
        <x:v>0</x:v>
      </x:c>
      <x:c r="E618" s="12" t="n">
        <x:f>C618/'客户小时分布'!$C$10</x:f>
        <x:v>0</x:v>
      </x:c>
      <x:c r="F618" s="8" t="n">
        <x:f>B618*C618</x:f>
        <x:v>0</x:v>
      </x:c>
      <x:c r="G618" s="12" t="n">
        <x:f>F618/'客户小时分布'!$C$6</x:f>
        <x:v>0</x:v>
      </x:c>
      <x:c r="H618" s="12" t="n">
        <x:f>SUM($C$8:C618)/'客户小时分布'!$C$8</x:f>
        <x:v>0.9999956072275749</x:v>
      </x:c>
    </x:row>
    <x:row r="619" ht="22" customHeight="1">
      <x:c r="A619" s="2"/>
      <x:c r="B619" s="8" t="n">
        <x:v>612</x:v>
      </x:c>
      <x:c r="C619" s="8" t="n">
        <x:v>0</x:v>
      </x:c>
      <x:c r="D619" s="12" t="n">
        <x:f>C619/'客户小时分布'!$C$8</x:f>
        <x:v>0</x:v>
      </x:c>
      <x:c r="E619" s="12" t="n">
        <x:f>C619/'客户小时分布'!$C$10</x:f>
        <x:v>0</x:v>
      </x:c>
      <x:c r="F619" s="8" t="n">
        <x:f>B619*C619</x:f>
        <x:v>0</x:v>
      </x:c>
      <x:c r="G619" s="12" t="n">
        <x:f>F619/'客户小时分布'!$C$6</x:f>
        <x:v>0</x:v>
      </x:c>
      <x:c r="H619" s="12" t="n">
        <x:f>SUM($C$8:C619)/'客户小时分布'!$C$8</x:f>
        <x:v>0.9999956072275749</x:v>
      </x:c>
    </x:row>
    <x:row r="620" ht="22" customHeight="1">
      <x:c r="A620" s="2"/>
      <x:c r="B620" s="8" t="n">
        <x:v>613</x:v>
      </x:c>
      <x:c r="C620" s="8" t="n">
        <x:v>0</x:v>
      </x:c>
      <x:c r="D620" s="12" t="n">
        <x:f>C620/'客户小时分布'!$C$8</x:f>
        <x:v>0</x:v>
      </x:c>
      <x:c r="E620" s="12" t="n">
        <x:f>C620/'客户小时分布'!$C$10</x:f>
        <x:v>0</x:v>
      </x:c>
      <x:c r="F620" s="8" t="n">
        <x:f>B620*C620</x:f>
        <x:v>0</x:v>
      </x:c>
      <x:c r="G620" s="12" t="n">
        <x:f>F620/'客户小时分布'!$C$6</x:f>
        <x:v>0</x:v>
      </x:c>
      <x:c r="H620" s="12" t="n">
        <x:f>SUM($C$8:C620)/'客户小时分布'!$C$8</x:f>
        <x:v>0.9999956072275749</x:v>
      </x:c>
    </x:row>
    <x:row r="621" ht="22" customHeight="1">
      <x:c r="A621" s="2"/>
      <x:c r="B621" s="8" t="n">
        <x:v>614</x:v>
      </x:c>
      <x:c r="C621" s="8" t="n">
        <x:v>0</x:v>
      </x:c>
      <x:c r="D621" s="12" t="n">
        <x:f>C621/'客户小时分布'!$C$8</x:f>
        <x:v>0</x:v>
      </x:c>
      <x:c r="E621" s="12" t="n">
        <x:f>C621/'客户小时分布'!$C$10</x:f>
        <x:v>0</x:v>
      </x:c>
      <x:c r="F621" s="8" t="n">
        <x:f>B621*C621</x:f>
        <x:v>0</x:v>
      </x:c>
      <x:c r="G621" s="12" t="n">
        <x:f>F621/'客户小时分布'!$C$6</x:f>
        <x:v>0</x:v>
      </x:c>
      <x:c r="H621" s="12" t="n">
        <x:f>SUM($C$8:C621)/'客户小时分布'!$C$8</x:f>
        <x:v>0.9999956072275749</x:v>
      </x:c>
    </x:row>
    <x:row r="622" ht="22" customHeight="1">
      <x:c r="A622" s="2"/>
      <x:c r="B622" s="8" t="n">
        <x:v>615</x:v>
      </x:c>
      <x:c r="C622" s="8" t="n">
        <x:v>0</x:v>
      </x:c>
      <x:c r="D622" s="12" t="n">
        <x:f>C622/'客户小时分布'!$C$8</x:f>
        <x:v>0</x:v>
      </x:c>
      <x:c r="E622" s="12" t="n">
        <x:f>C622/'客户小时分布'!$C$10</x:f>
        <x:v>0</x:v>
      </x:c>
      <x:c r="F622" s="8" t="n">
        <x:f>B622*C622</x:f>
        <x:v>0</x:v>
      </x:c>
      <x:c r="G622" s="12" t="n">
        <x:f>F622/'客户小时分布'!$C$6</x:f>
        <x:v>0</x:v>
      </x:c>
      <x:c r="H622" s="12" t="n">
        <x:f>SUM($C$8:C622)/'客户小时分布'!$C$8</x:f>
        <x:v>0.9999956072275749</x:v>
      </x:c>
    </x:row>
    <x:row r="623" ht="22" customHeight="1">
      <x:c r="A623" s="2"/>
      <x:c r="B623" s="8" t="n">
        <x:v>616</x:v>
      </x:c>
      <x:c r="C623" s="8" t="n">
        <x:v>0</x:v>
      </x:c>
      <x:c r="D623" s="12" t="n">
        <x:f>C623/'客户小时分布'!$C$8</x:f>
        <x:v>0</x:v>
      </x:c>
      <x:c r="E623" s="12" t="n">
        <x:f>C623/'客户小时分布'!$C$10</x:f>
        <x:v>0</x:v>
      </x:c>
      <x:c r="F623" s="8" t="n">
        <x:f>B623*C623</x:f>
        <x:v>0</x:v>
      </x:c>
      <x:c r="G623" s="12" t="n">
        <x:f>F623/'客户小时分布'!$C$6</x:f>
        <x:v>0</x:v>
      </x:c>
      <x:c r="H623" s="12" t="n">
        <x:f>SUM($C$8:C623)/'客户小时分布'!$C$8</x:f>
        <x:v>0.9999956072275749</x:v>
      </x:c>
    </x:row>
    <x:row r="624" ht="22" customHeight="1">
      <x:c r="A624" s="2"/>
      <x:c r="B624" s="8" t="n">
        <x:v>617</x:v>
      </x:c>
      <x:c r="C624" s="8" t="n">
        <x:v>0</x:v>
      </x:c>
      <x:c r="D624" s="12" t="n">
        <x:f>C624/'客户小时分布'!$C$8</x:f>
        <x:v>0</x:v>
      </x:c>
      <x:c r="E624" s="12" t="n">
        <x:f>C624/'客户小时分布'!$C$10</x:f>
        <x:v>0</x:v>
      </x:c>
      <x:c r="F624" s="8" t="n">
        <x:f>B624*C624</x:f>
        <x:v>0</x:v>
      </x:c>
      <x:c r="G624" s="12" t="n">
        <x:f>F624/'客户小时分布'!$C$6</x:f>
        <x:v>0</x:v>
      </x:c>
      <x:c r="H624" s="12" t="n">
        <x:f>SUM($C$8:C624)/'客户小时分布'!$C$8</x:f>
        <x:v>0.9999956072275749</x:v>
      </x:c>
    </x:row>
    <x:row r="625" ht="22" customHeight="1">
      <x:c r="A625" s="2"/>
      <x:c r="B625" s="8" t="n">
        <x:v>618</x:v>
      </x:c>
      <x:c r="C625" s="8" t="n">
        <x:v>0</x:v>
      </x:c>
      <x:c r="D625" s="12" t="n">
        <x:f>C625/'客户小时分布'!$C$8</x:f>
        <x:v>0</x:v>
      </x:c>
      <x:c r="E625" s="12" t="n">
        <x:f>C625/'客户小时分布'!$C$10</x:f>
        <x:v>0</x:v>
      </x:c>
      <x:c r="F625" s="8" t="n">
        <x:f>B625*C625</x:f>
        <x:v>0</x:v>
      </x:c>
      <x:c r="G625" s="12" t="n">
        <x:f>F625/'客户小时分布'!$C$6</x:f>
        <x:v>0</x:v>
      </x:c>
      <x:c r="H625" s="12" t="n">
        <x:f>SUM($C$8:C625)/'客户小时分布'!$C$8</x:f>
        <x:v>0.9999956072275749</x:v>
      </x:c>
    </x:row>
    <x:row r="626" ht="22" customHeight="1">
      <x:c r="A626" s="2"/>
      <x:c r="B626" s="8" t="n">
        <x:v>619</x:v>
      </x:c>
      <x:c r="C626" s="8" t="n">
        <x:v>0</x:v>
      </x:c>
      <x:c r="D626" s="12" t="n">
        <x:f>C626/'客户小时分布'!$C$8</x:f>
        <x:v>0</x:v>
      </x:c>
      <x:c r="E626" s="12" t="n">
        <x:f>C626/'客户小时分布'!$C$10</x:f>
        <x:v>0</x:v>
      </x:c>
      <x:c r="F626" s="8" t="n">
        <x:f>B626*C626</x:f>
        <x:v>0</x:v>
      </x:c>
      <x:c r="G626" s="12" t="n">
        <x:f>F626/'客户小时分布'!$C$6</x:f>
        <x:v>0</x:v>
      </x:c>
      <x:c r="H626" s="12" t="n">
        <x:f>SUM($C$8:C626)/'客户小时分布'!$C$8</x:f>
        <x:v>0.9999956072275749</x:v>
      </x:c>
    </x:row>
    <x:row r="627" ht="22" customHeight="1">
      <x:c r="A627" s="2"/>
      <x:c r="B627" s="8" t="n">
        <x:v>620</x:v>
      </x:c>
      <x:c r="C627" s="8" t="n">
        <x:v>0</x:v>
      </x:c>
      <x:c r="D627" s="12" t="n">
        <x:f>C627/'客户小时分布'!$C$8</x:f>
        <x:v>0</x:v>
      </x:c>
      <x:c r="E627" s="12" t="n">
        <x:f>C627/'客户小时分布'!$C$10</x:f>
        <x:v>0</x:v>
      </x:c>
      <x:c r="F627" s="8" t="n">
        <x:f>B627*C627</x:f>
        <x:v>0</x:v>
      </x:c>
      <x:c r="G627" s="12" t="n">
        <x:f>F627/'客户小时分布'!$C$6</x:f>
        <x:v>0</x:v>
      </x:c>
      <x:c r="H627" s="12" t="n">
        <x:f>SUM($C$8:C627)/'客户小时分布'!$C$8</x:f>
        <x:v>0.9999956072275749</x:v>
      </x:c>
    </x:row>
    <x:row r="628" ht="22" customHeight="1">
      <x:c r="A628" s="2"/>
      <x:c r="B628" s="8" t="n">
        <x:v>621</x:v>
      </x:c>
      <x:c r="C628" s="8" t="n">
        <x:v>0</x:v>
      </x:c>
      <x:c r="D628" s="12" t="n">
        <x:f>C628/'客户小时分布'!$C$8</x:f>
        <x:v>0</x:v>
      </x:c>
      <x:c r="E628" s="12" t="n">
        <x:f>C628/'客户小时分布'!$C$10</x:f>
        <x:v>0</x:v>
      </x:c>
      <x:c r="F628" s="8" t="n">
        <x:f>B628*C628</x:f>
        <x:v>0</x:v>
      </x:c>
      <x:c r="G628" s="12" t="n">
        <x:f>F628/'客户小时分布'!$C$6</x:f>
        <x:v>0</x:v>
      </x:c>
      <x:c r="H628" s="12" t="n">
        <x:f>SUM($C$8:C628)/'客户小时分布'!$C$8</x:f>
        <x:v>0.9999956072275749</x:v>
      </x:c>
    </x:row>
    <x:row r="629" ht="22" customHeight="1">
      <x:c r="A629" s="2"/>
      <x:c r="B629" s="8" t="n">
        <x:v>622</x:v>
      </x:c>
      <x:c r="C629" s="8" t="n">
        <x:v>0</x:v>
      </x:c>
      <x:c r="D629" s="12" t="n">
        <x:f>C629/'客户小时分布'!$C$8</x:f>
        <x:v>0</x:v>
      </x:c>
      <x:c r="E629" s="12" t="n">
        <x:f>C629/'客户小时分布'!$C$10</x:f>
        <x:v>0</x:v>
      </x:c>
      <x:c r="F629" s="8" t="n">
        <x:f>B629*C629</x:f>
        <x:v>0</x:v>
      </x:c>
      <x:c r="G629" s="12" t="n">
        <x:f>F629/'客户小时分布'!$C$6</x:f>
        <x:v>0</x:v>
      </x:c>
      <x:c r="H629" s="12" t="n">
        <x:f>SUM($C$8:C629)/'客户小时分布'!$C$8</x:f>
        <x:v>0.9999956072275749</x:v>
      </x:c>
    </x:row>
    <x:row r="630" ht="22" customHeight="1">
      <x:c r="A630" s="2"/>
      <x:c r="B630" s="8" t="n">
        <x:v>623</x:v>
      </x:c>
      <x:c r="C630" s="8" t="n">
        <x:v>0</x:v>
      </x:c>
      <x:c r="D630" s="12" t="n">
        <x:f>C630/'客户小时分布'!$C$8</x:f>
        <x:v>0</x:v>
      </x:c>
      <x:c r="E630" s="12" t="n">
        <x:f>C630/'客户小时分布'!$C$10</x:f>
        <x:v>0</x:v>
      </x:c>
      <x:c r="F630" s="8" t="n">
        <x:f>B630*C630</x:f>
        <x:v>0</x:v>
      </x:c>
      <x:c r="G630" s="12" t="n">
        <x:f>F630/'客户小时分布'!$C$6</x:f>
        <x:v>0</x:v>
      </x:c>
      <x:c r="H630" s="12" t="n">
        <x:f>SUM($C$8:C630)/'客户小时分布'!$C$8</x:f>
        <x:v>0.9999956072275749</x:v>
      </x:c>
    </x:row>
    <x:row r="631" ht="22" customHeight="1">
      <x:c r="A631" s="2"/>
      <x:c r="B631" s="8" t="n">
        <x:v>624</x:v>
      </x:c>
      <x:c r="C631" s="8" t="n">
        <x:v>0</x:v>
      </x:c>
      <x:c r="D631" s="12" t="n">
        <x:f>C631/'客户小时分布'!$C$8</x:f>
        <x:v>0</x:v>
      </x:c>
      <x:c r="E631" s="12" t="n">
        <x:f>C631/'客户小时分布'!$C$10</x:f>
        <x:v>0</x:v>
      </x:c>
      <x:c r="F631" s="8" t="n">
        <x:f>B631*C631</x:f>
        <x:v>0</x:v>
      </x:c>
      <x:c r="G631" s="12" t="n">
        <x:f>F631/'客户小时分布'!$C$6</x:f>
        <x:v>0</x:v>
      </x:c>
      <x:c r="H631" s="12" t="n">
        <x:f>SUM($C$8:C631)/'客户小时分布'!$C$8</x:f>
        <x:v>0.9999956072275749</x:v>
      </x:c>
    </x:row>
    <x:row r="632" ht="22" customHeight="1">
      <x:c r="A632" s="2"/>
      <x:c r="B632" s="8" t="n">
        <x:v>625</x:v>
      </x:c>
      <x:c r="C632" s="8" t="n">
        <x:v>0</x:v>
      </x:c>
      <x:c r="D632" s="12" t="n">
        <x:f>C632/'客户小时分布'!$C$8</x:f>
        <x:v>0</x:v>
      </x:c>
      <x:c r="E632" s="12" t="n">
        <x:f>C632/'客户小时分布'!$C$10</x:f>
        <x:v>0</x:v>
      </x:c>
      <x:c r="F632" s="8" t="n">
        <x:f>B632*C632</x:f>
        <x:v>0</x:v>
      </x:c>
      <x:c r="G632" s="12" t="n">
        <x:f>F632/'客户小时分布'!$C$6</x:f>
        <x:v>0</x:v>
      </x:c>
      <x:c r="H632" s="12" t="n">
        <x:f>SUM($C$8:C632)/'客户小时分布'!$C$8</x:f>
        <x:v>0.9999956072275749</x:v>
      </x:c>
    </x:row>
    <x:row r="633" ht="22" customHeight="1">
      <x:c r="A633" s="2"/>
      <x:c r="B633" s="8" t="n">
        <x:v>626</x:v>
      </x:c>
      <x:c r="C633" s="8" t="n">
        <x:v>1</x:v>
      </x:c>
      <x:c r="D633" s="12" t="n">
        <x:f>C633/'客户小时分布'!$C$8</x:f>
        <x:v>0.00000146425747503441</x:v>
      </x:c>
      <x:c r="E633" s="12" t="n">
        <x:f>C633/'客户小时分布'!$C$10</x:f>
        <x:v>1.3440860215053764e-7</x:v>
      </x:c>
      <x:c r="F633" s="8" t="n">
        <x:f>B633*C633</x:f>
        <x:v>626</x:v>
      </x:c>
      <x:c r="G633" s="12" t="n">
        <x:f>F633/'客户小时分布'!$C$6</x:f>
        <x:v>0.00005107324801218187</x:v>
      </x:c>
      <x:c r="H633" s="12" t="n">
        <x:f>SUM($C$8:C633)/'客户小时分布'!$C$8</x:f>
        <x:v>0.9999970714850499</x:v>
      </x:c>
    </x:row>
    <x:row r="634" ht="22" customHeight="1">
      <x:c r="A634" s="2"/>
      <x:c r="B634" s="8" t="n">
        <x:v>627</x:v>
      </x:c>
      <x:c r="C634" s="8" t="n">
        <x:v>0</x:v>
      </x:c>
      <x:c r="D634" s="12" t="n">
        <x:f>C634/'客户小时分布'!$C$8</x:f>
        <x:v>0</x:v>
      </x:c>
      <x:c r="E634" s="12" t="n">
        <x:f>C634/'客户小时分布'!$C$10</x:f>
        <x:v>0</x:v>
      </x:c>
      <x:c r="F634" s="8" t="n">
        <x:f>B634*C634</x:f>
        <x:v>0</x:v>
      </x:c>
      <x:c r="G634" s="12" t="n">
        <x:f>F634/'客户小时分布'!$C$6</x:f>
        <x:v>0</x:v>
      </x:c>
      <x:c r="H634" s="12" t="n">
        <x:f>SUM($C$8:C634)/'客户小时分布'!$C$8</x:f>
        <x:v>0.9999970714850499</x:v>
      </x:c>
    </x:row>
    <x:row r="635" ht="22" customHeight="1">
      <x:c r="A635" s="2"/>
      <x:c r="B635" s="8" t="n">
        <x:v>628</x:v>
      </x:c>
      <x:c r="C635" s="8" t="n">
        <x:v>0</x:v>
      </x:c>
      <x:c r="D635" s="12" t="n">
        <x:f>C635/'客户小时分布'!$C$8</x:f>
        <x:v>0</x:v>
      </x:c>
      <x:c r="E635" s="12" t="n">
        <x:f>C635/'客户小时分布'!$C$10</x:f>
        <x:v>0</x:v>
      </x:c>
      <x:c r="F635" s="8" t="n">
        <x:f>B635*C635</x:f>
        <x:v>0</x:v>
      </x:c>
      <x:c r="G635" s="12" t="n">
        <x:f>F635/'客户小时分布'!$C$6</x:f>
        <x:v>0</x:v>
      </x:c>
      <x:c r="H635" s="12" t="n">
        <x:f>SUM($C$8:C635)/'客户小时分布'!$C$8</x:f>
        <x:v>0.9999970714850499</x:v>
      </x:c>
    </x:row>
    <x:row r="636" ht="22" customHeight="1">
      <x:c r="A636" s="2"/>
      <x:c r="B636" s="8" t="n">
        <x:v>629</x:v>
      </x:c>
      <x:c r="C636" s="8" t="n">
        <x:v>0</x:v>
      </x:c>
      <x:c r="D636" s="12" t="n">
        <x:f>C636/'客户小时分布'!$C$8</x:f>
        <x:v>0</x:v>
      </x:c>
      <x:c r="E636" s="12" t="n">
        <x:f>C636/'客户小时分布'!$C$10</x:f>
        <x:v>0</x:v>
      </x:c>
      <x:c r="F636" s="8" t="n">
        <x:f>B636*C636</x:f>
        <x:v>0</x:v>
      </x:c>
      <x:c r="G636" s="12" t="n">
        <x:f>F636/'客户小时分布'!$C$6</x:f>
        <x:v>0</x:v>
      </x:c>
      <x:c r="H636" s="12" t="n">
        <x:f>SUM($C$8:C636)/'客户小时分布'!$C$8</x:f>
        <x:v>0.9999970714850499</x:v>
      </x:c>
    </x:row>
    <x:row r="637" ht="22" customHeight="1">
      <x:c r="A637" s="2"/>
      <x:c r="B637" s="8" t="n">
        <x:v>630</x:v>
      </x:c>
      <x:c r="C637" s="8" t="n">
        <x:v>1</x:v>
      </x:c>
      <x:c r="D637" s="12" t="n">
        <x:f>C637/'客户小时分布'!$C$8</x:f>
        <x:v>0.00000146425747503441</x:v>
      </x:c>
      <x:c r="E637" s="12" t="n">
        <x:f>C637/'客户小时分布'!$C$10</x:f>
        <x:v>1.3440860215053764e-7</x:v>
      </x:c>
      <x:c r="F637" s="8" t="n">
        <x:f>B637*C637</x:f>
        <x:v>630</x:v>
      </x:c>
      <x:c r="G637" s="12" t="n">
        <x:f>F637/'客户小时分布'!$C$6</x:f>
        <x:v>0.000051399594644847564</x:v>
      </x:c>
      <x:c r="H637" s="12" t="n">
        <x:f>SUM($C$8:C637)/'客户小时分布'!$C$8</x:f>
        <x:v>0.999998535742525</x:v>
      </x:c>
    </x:row>
    <x:row r="638" ht="22" customHeight="1">
      <x:c r="A638" s="2"/>
      <x:c r="B638" s="8" t="n">
        <x:v>631</x:v>
      </x:c>
      <x:c r="C638" s="8" t="n">
        <x:v>0</x:v>
      </x:c>
      <x:c r="D638" s="12" t="n">
        <x:f>C638/'客户小时分布'!$C$8</x:f>
        <x:v>0</x:v>
      </x:c>
      <x:c r="E638" s="12" t="n">
        <x:f>C638/'客户小时分布'!$C$10</x:f>
        <x:v>0</x:v>
      </x:c>
      <x:c r="F638" s="8" t="n">
        <x:f>B638*C638</x:f>
        <x:v>0</x:v>
      </x:c>
      <x:c r="G638" s="12" t="n">
        <x:f>F638/'客户小时分布'!$C$6</x:f>
        <x:v>0</x:v>
      </x:c>
      <x:c r="H638" s="12" t="n">
        <x:f>SUM($C$8:C638)/'客户小时分布'!$C$8</x:f>
        <x:v>0.999998535742525</x:v>
      </x:c>
    </x:row>
    <x:row r="639" ht="22" customHeight="1">
      <x:c r="A639" s="2"/>
      <x:c r="B639" s="8" t="n">
        <x:v>632</x:v>
      </x:c>
      <x:c r="C639" s="8" t="n">
        <x:v>0</x:v>
      </x:c>
      <x:c r="D639" s="12" t="n">
        <x:f>C639/'客户小时分布'!$C$8</x:f>
        <x:v>0</x:v>
      </x:c>
      <x:c r="E639" s="12" t="n">
        <x:f>C639/'客户小时分布'!$C$10</x:f>
        <x:v>0</x:v>
      </x:c>
      <x:c r="F639" s="8" t="n">
        <x:f>B639*C639</x:f>
        <x:v>0</x:v>
      </x:c>
      <x:c r="G639" s="12" t="n">
        <x:f>F639/'客户小时分布'!$C$6</x:f>
        <x:v>0</x:v>
      </x:c>
      <x:c r="H639" s="12" t="n">
        <x:f>SUM($C$8:C639)/'客户小时分布'!$C$8</x:f>
        <x:v>0.999998535742525</x:v>
      </x:c>
    </x:row>
    <x:row r="640" ht="22" customHeight="1">
      <x:c r="A640" s="2"/>
      <x:c r="B640" s="8" t="n">
        <x:v>633</x:v>
      </x:c>
      <x:c r="C640" s="8" t="n">
        <x:v>0</x:v>
      </x:c>
      <x:c r="D640" s="12" t="n">
        <x:f>C640/'客户小时分布'!$C$8</x:f>
        <x:v>0</x:v>
      </x:c>
      <x:c r="E640" s="12" t="n">
        <x:f>C640/'客户小时分布'!$C$10</x:f>
        <x:v>0</x:v>
      </x:c>
      <x:c r="F640" s="8" t="n">
        <x:f>B640*C640</x:f>
        <x:v>0</x:v>
      </x:c>
      <x:c r="G640" s="12" t="n">
        <x:f>F640/'客户小时分布'!$C$6</x:f>
        <x:v>0</x:v>
      </x:c>
      <x:c r="H640" s="12" t="n">
        <x:f>SUM($C$8:C640)/'客户小时分布'!$C$8</x:f>
        <x:v>0.999998535742525</x:v>
      </x:c>
    </x:row>
    <x:row r="641" ht="22" customHeight="1">
      <x:c r="A641" s="2"/>
      <x:c r="B641" s="8" t="n">
        <x:v>634</x:v>
      </x:c>
      <x:c r="C641" s="8" t="n">
        <x:v>0</x:v>
      </x:c>
      <x:c r="D641" s="12" t="n">
        <x:f>C641/'客户小时分布'!$C$8</x:f>
        <x:v>0</x:v>
      </x:c>
      <x:c r="E641" s="12" t="n">
        <x:f>C641/'客户小时分布'!$C$10</x:f>
        <x:v>0</x:v>
      </x:c>
      <x:c r="F641" s="8" t="n">
        <x:f>B641*C641</x:f>
        <x:v>0</x:v>
      </x:c>
      <x:c r="G641" s="12" t="n">
        <x:f>F641/'客户小时分布'!$C$6</x:f>
        <x:v>0</x:v>
      </x:c>
      <x:c r="H641" s="12" t="n">
        <x:f>SUM($C$8:C641)/'客户小时分布'!$C$8</x:f>
        <x:v>0.999998535742525</x:v>
      </x:c>
    </x:row>
    <x:row r="642" ht="22" customHeight="1">
      <x:c r="A642" s="2"/>
      <x:c r="B642" s="8" t="n">
        <x:v>635</x:v>
      </x:c>
      <x:c r="C642" s="8" t="n">
        <x:v>0</x:v>
      </x:c>
      <x:c r="D642" s="12" t="n">
        <x:f>C642/'客户小时分布'!$C$8</x:f>
        <x:v>0</x:v>
      </x:c>
      <x:c r="E642" s="12" t="n">
        <x:f>C642/'客户小时分布'!$C$10</x:f>
        <x:v>0</x:v>
      </x:c>
      <x:c r="F642" s="8" t="n">
        <x:f>B642*C642</x:f>
        <x:v>0</x:v>
      </x:c>
      <x:c r="G642" s="12" t="n">
        <x:f>F642/'客户小时分布'!$C$6</x:f>
        <x:v>0</x:v>
      </x:c>
      <x:c r="H642" s="12" t="n">
        <x:f>SUM($C$8:C642)/'客户小时分布'!$C$8</x:f>
        <x:v>0.999998535742525</x:v>
      </x:c>
    </x:row>
    <x:row r="643" ht="22" customHeight="1">
      <x:c r="A643" s="2"/>
      <x:c r="B643" s="8" t="n">
        <x:v>636</x:v>
      </x:c>
      <x:c r="C643" s="8" t="n">
        <x:v>0</x:v>
      </x:c>
      <x:c r="D643" s="12" t="n">
        <x:f>C643/'客户小时分布'!$C$8</x:f>
        <x:v>0</x:v>
      </x:c>
      <x:c r="E643" s="12" t="n">
        <x:f>C643/'客户小时分布'!$C$10</x:f>
        <x:v>0</x:v>
      </x:c>
      <x:c r="F643" s="8" t="n">
        <x:f>B643*C643</x:f>
        <x:v>0</x:v>
      </x:c>
      <x:c r="G643" s="12" t="n">
        <x:f>F643/'客户小时分布'!$C$6</x:f>
        <x:v>0</x:v>
      </x:c>
      <x:c r="H643" s="12" t="n">
        <x:f>SUM($C$8:C643)/'客户小时分布'!$C$8</x:f>
        <x:v>0.999998535742525</x:v>
      </x:c>
    </x:row>
    <x:row r="644" ht="22" customHeight="1">
      <x:c r="A644" s="2"/>
      <x:c r="B644" s="8" t="n">
        <x:v>637</x:v>
      </x:c>
      <x:c r="C644" s="8" t="n">
        <x:v>0</x:v>
      </x:c>
      <x:c r="D644" s="12" t="n">
        <x:f>C644/'客户小时分布'!$C$8</x:f>
        <x:v>0</x:v>
      </x:c>
      <x:c r="E644" s="12" t="n">
        <x:f>C644/'客户小时分布'!$C$10</x:f>
        <x:v>0</x:v>
      </x:c>
      <x:c r="F644" s="8" t="n">
        <x:f>B644*C644</x:f>
        <x:v>0</x:v>
      </x:c>
      <x:c r="G644" s="12" t="n">
        <x:f>F644/'客户小时分布'!$C$6</x:f>
        <x:v>0</x:v>
      </x:c>
      <x:c r="H644" s="12" t="n">
        <x:f>SUM($C$8:C644)/'客户小时分布'!$C$8</x:f>
        <x:v>0.999998535742525</x:v>
      </x:c>
    </x:row>
    <x:row r="645" ht="22" customHeight="1">
      <x:c r="A645" s="2"/>
      <x:c r="B645" s="8" t="n">
        <x:v>638</x:v>
      </x:c>
      <x:c r="C645" s="8" t="n">
        <x:v>0</x:v>
      </x:c>
      <x:c r="D645" s="12" t="n">
        <x:f>C645/'客户小时分布'!$C$8</x:f>
        <x:v>0</x:v>
      </x:c>
      <x:c r="E645" s="12" t="n">
        <x:f>C645/'客户小时分布'!$C$10</x:f>
        <x:v>0</x:v>
      </x:c>
      <x:c r="F645" s="8" t="n">
        <x:f>B645*C645</x:f>
        <x:v>0</x:v>
      </x:c>
      <x:c r="G645" s="12" t="n">
        <x:f>F645/'客户小时分布'!$C$6</x:f>
        <x:v>0</x:v>
      </x:c>
      <x:c r="H645" s="12" t="n">
        <x:f>SUM($C$8:C645)/'客户小时分布'!$C$8</x:f>
        <x:v>0.999998535742525</x:v>
      </x:c>
    </x:row>
    <x:row r="646" ht="22" customHeight="1">
      <x:c r="A646" s="2"/>
      <x:c r="B646" s="8" t="n">
        <x:v>639</x:v>
      </x:c>
      <x:c r="C646" s="8" t="n">
        <x:v>0</x:v>
      </x:c>
      <x:c r="D646" s="12" t="n">
        <x:f>C646/'客户小时分布'!$C$8</x:f>
        <x:v>0</x:v>
      </x:c>
      <x:c r="E646" s="12" t="n">
        <x:f>C646/'客户小时分布'!$C$10</x:f>
        <x:v>0</x:v>
      </x:c>
      <x:c r="F646" s="8" t="n">
        <x:f>B646*C646</x:f>
        <x:v>0</x:v>
      </x:c>
      <x:c r="G646" s="12" t="n">
        <x:f>F646/'客户小时分布'!$C$6</x:f>
        <x:v>0</x:v>
      </x:c>
      <x:c r="H646" s="12" t="n">
        <x:f>SUM($C$8:C646)/'客户小时分布'!$C$8</x:f>
        <x:v>0.999998535742525</x:v>
      </x:c>
    </x:row>
    <x:row r="647" ht="22" customHeight="1">
      <x:c r="A647" s="2"/>
      <x:c r="B647" s="8" t="n">
        <x:v>640</x:v>
      </x:c>
      <x:c r="C647" s="8" t="n">
        <x:v>0</x:v>
      </x:c>
      <x:c r="D647" s="12" t="n">
        <x:f>C647/'客户小时分布'!$C$8</x:f>
        <x:v>0</x:v>
      </x:c>
      <x:c r="E647" s="12" t="n">
        <x:f>C647/'客户小时分布'!$C$10</x:f>
        <x:v>0</x:v>
      </x:c>
      <x:c r="F647" s="8" t="n">
        <x:f>B647*C647</x:f>
        <x:v>0</x:v>
      </x:c>
      <x:c r="G647" s="12" t="n">
        <x:f>F647/'客户小时分布'!$C$6</x:f>
        <x:v>0</x:v>
      </x:c>
      <x:c r="H647" s="12" t="n">
        <x:f>SUM($C$8:C647)/'客户小时分布'!$C$8</x:f>
        <x:v>0.999998535742525</x:v>
      </x:c>
    </x:row>
    <x:row r="648" ht="22" customHeight="1">
      <x:c r="A648" s="2"/>
      <x:c r="B648" s="8" t="n">
        <x:v>641</x:v>
      </x:c>
      <x:c r="C648" s="8" t="n">
        <x:v>0</x:v>
      </x:c>
      <x:c r="D648" s="12" t="n">
        <x:f>C648/'客户小时分布'!$C$8</x:f>
        <x:v>0</x:v>
      </x:c>
      <x:c r="E648" s="12" t="n">
        <x:f>C648/'客户小时分布'!$C$10</x:f>
        <x:v>0</x:v>
      </x:c>
      <x:c r="F648" s="8" t="n">
        <x:f>B648*C648</x:f>
        <x:v>0</x:v>
      </x:c>
      <x:c r="G648" s="12" t="n">
        <x:f>F648/'客户小时分布'!$C$6</x:f>
        <x:v>0</x:v>
      </x:c>
      <x:c r="H648" s="12" t="n">
        <x:f>SUM($C$8:C648)/'客户小时分布'!$C$8</x:f>
        <x:v>0.999998535742525</x:v>
      </x:c>
    </x:row>
    <x:row r="649" ht="22" customHeight="1">
      <x:c r="A649" s="2"/>
      <x:c r="B649" s="8" t="n">
        <x:v>642</x:v>
      </x:c>
      <x:c r="C649" s="8" t="n">
        <x:v>0</x:v>
      </x:c>
      <x:c r="D649" s="12" t="n">
        <x:f>C649/'客户小时分布'!$C$8</x:f>
        <x:v>0</x:v>
      </x:c>
      <x:c r="E649" s="12" t="n">
        <x:f>C649/'客户小时分布'!$C$10</x:f>
        <x:v>0</x:v>
      </x:c>
      <x:c r="F649" s="8" t="n">
        <x:f>B649*C649</x:f>
        <x:v>0</x:v>
      </x:c>
      <x:c r="G649" s="12" t="n">
        <x:f>F649/'客户小时分布'!$C$6</x:f>
        <x:v>0</x:v>
      </x:c>
      <x:c r="H649" s="12" t="n">
        <x:f>SUM($C$8:C649)/'客户小时分布'!$C$8</x:f>
        <x:v>0.999998535742525</x:v>
      </x:c>
    </x:row>
    <x:row r="650" ht="22" customHeight="1">
      <x:c r="A650" s="2"/>
      <x:c r="B650" s="8" t="n">
        <x:v>643</x:v>
      </x:c>
      <x:c r="C650" s="8" t="n">
        <x:v>0</x:v>
      </x:c>
      <x:c r="D650" s="12" t="n">
        <x:f>C650/'客户小时分布'!$C$8</x:f>
        <x:v>0</x:v>
      </x:c>
      <x:c r="E650" s="12" t="n">
        <x:f>C650/'客户小时分布'!$C$10</x:f>
        <x:v>0</x:v>
      </x:c>
      <x:c r="F650" s="8" t="n">
        <x:f>B650*C650</x:f>
        <x:v>0</x:v>
      </x:c>
      <x:c r="G650" s="12" t="n">
        <x:f>F650/'客户小时分布'!$C$6</x:f>
        <x:v>0</x:v>
      </x:c>
      <x:c r="H650" s="12" t="n">
        <x:f>SUM($C$8:C650)/'客户小时分布'!$C$8</x:f>
        <x:v>0.999998535742525</x:v>
      </x:c>
    </x:row>
    <x:row r="651" ht="22" customHeight="1">
      <x:c r="A651" s="2"/>
      <x:c r="B651" s="8" t="n">
        <x:v>644</x:v>
      </x:c>
      <x:c r="C651" s="8" t="n">
        <x:v>0</x:v>
      </x:c>
      <x:c r="D651" s="12" t="n">
        <x:f>C651/'客户小时分布'!$C$8</x:f>
        <x:v>0</x:v>
      </x:c>
      <x:c r="E651" s="12" t="n">
        <x:f>C651/'客户小时分布'!$C$10</x:f>
        <x:v>0</x:v>
      </x:c>
      <x:c r="F651" s="8" t="n">
        <x:f>B651*C651</x:f>
        <x:v>0</x:v>
      </x:c>
      <x:c r="G651" s="12" t="n">
        <x:f>F651/'客户小时分布'!$C$6</x:f>
        <x:v>0</x:v>
      </x:c>
      <x:c r="H651" s="12" t="n">
        <x:f>SUM($C$8:C651)/'客户小时分布'!$C$8</x:f>
        <x:v>0.999998535742525</x:v>
      </x:c>
    </x:row>
    <x:row r="652" ht="22" customHeight="1">
      <x:c r="A652" s="2"/>
      <x:c r="B652" s="8" t="n">
        <x:v>645</x:v>
      </x:c>
      <x:c r="C652" s="8" t="n">
        <x:v>0</x:v>
      </x:c>
      <x:c r="D652" s="12" t="n">
        <x:f>C652/'客户小时分布'!$C$8</x:f>
        <x:v>0</x:v>
      </x:c>
      <x:c r="E652" s="12" t="n">
        <x:f>C652/'客户小时分布'!$C$10</x:f>
        <x:v>0</x:v>
      </x:c>
      <x:c r="F652" s="8" t="n">
        <x:f>B652*C652</x:f>
        <x:v>0</x:v>
      </x:c>
      <x:c r="G652" s="12" t="n">
        <x:f>F652/'客户小时分布'!$C$6</x:f>
        <x:v>0</x:v>
      </x:c>
      <x:c r="H652" s="12" t="n">
        <x:f>SUM($C$8:C652)/'客户小时分布'!$C$8</x:f>
        <x:v>0.999998535742525</x:v>
      </x:c>
    </x:row>
    <x:row r="653" ht="22" customHeight="1">
      <x:c r="A653" s="2"/>
      <x:c r="B653" s="8" t="n">
        <x:v>646</x:v>
      </x:c>
      <x:c r="C653" s="8" t="n">
        <x:v>0</x:v>
      </x:c>
      <x:c r="D653" s="12" t="n">
        <x:f>C653/'客户小时分布'!$C$8</x:f>
        <x:v>0</x:v>
      </x:c>
      <x:c r="E653" s="12" t="n">
        <x:f>C653/'客户小时分布'!$C$10</x:f>
        <x:v>0</x:v>
      </x:c>
      <x:c r="F653" s="8" t="n">
        <x:f>B653*C653</x:f>
        <x:v>0</x:v>
      </x:c>
      <x:c r="G653" s="12" t="n">
        <x:f>F653/'客户小时分布'!$C$6</x:f>
        <x:v>0</x:v>
      </x:c>
      <x:c r="H653" s="12" t="n">
        <x:f>SUM($C$8:C653)/'客户小时分布'!$C$8</x:f>
        <x:v>0.999998535742525</x:v>
      </x:c>
    </x:row>
    <x:row r="654" ht="22" customHeight="1">
      <x:c r="A654" s="2"/>
      <x:c r="B654" s="8" t="n">
        <x:v>647</x:v>
      </x:c>
      <x:c r="C654" s="8" t="n">
        <x:v>0</x:v>
      </x:c>
      <x:c r="D654" s="12" t="n">
        <x:f>C654/'客户小时分布'!$C$8</x:f>
        <x:v>0</x:v>
      </x:c>
      <x:c r="E654" s="12" t="n">
        <x:f>C654/'客户小时分布'!$C$10</x:f>
        <x:v>0</x:v>
      </x:c>
      <x:c r="F654" s="8" t="n">
        <x:f>B654*C654</x:f>
        <x:v>0</x:v>
      </x:c>
      <x:c r="G654" s="12" t="n">
        <x:f>F654/'客户小时分布'!$C$6</x:f>
        <x:v>0</x:v>
      </x:c>
      <x:c r="H654" s="12" t="n">
        <x:f>SUM($C$8:C654)/'客户小时分布'!$C$8</x:f>
        <x:v>0.999998535742525</x:v>
      </x:c>
    </x:row>
    <x:row r="655" ht="22" customHeight="1">
      <x:c r="A655" s="2"/>
      <x:c r="B655" s="8" t="n">
        <x:v>648</x:v>
      </x:c>
      <x:c r="C655" s="8" t="n">
        <x:v>0</x:v>
      </x:c>
      <x:c r="D655" s="12" t="n">
        <x:f>C655/'客户小时分布'!$C$8</x:f>
        <x:v>0</x:v>
      </x:c>
      <x:c r="E655" s="12" t="n">
        <x:f>C655/'客户小时分布'!$C$10</x:f>
        <x:v>0</x:v>
      </x:c>
      <x:c r="F655" s="8" t="n">
        <x:f>B655*C655</x:f>
        <x:v>0</x:v>
      </x:c>
      <x:c r="G655" s="12" t="n">
        <x:f>F655/'客户小时分布'!$C$6</x:f>
        <x:v>0</x:v>
      </x:c>
      <x:c r="H655" s="12" t="n">
        <x:f>SUM($C$8:C655)/'客户小时分布'!$C$8</x:f>
        <x:v>0.999998535742525</x:v>
      </x:c>
    </x:row>
    <x:row r="656" ht="22" customHeight="1">
      <x:c r="A656" s="2"/>
      <x:c r="B656" s="8" t="n">
        <x:v>649</x:v>
      </x:c>
      <x:c r="C656" s="8" t="n">
        <x:v>0</x:v>
      </x:c>
      <x:c r="D656" s="12" t="n">
        <x:f>C656/'客户小时分布'!$C$8</x:f>
        <x:v>0</x:v>
      </x:c>
      <x:c r="E656" s="12" t="n">
        <x:f>C656/'客户小时分布'!$C$10</x:f>
        <x:v>0</x:v>
      </x:c>
      <x:c r="F656" s="8" t="n">
        <x:f>B656*C656</x:f>
        <x:v>0</x:v>
      </x:c>
      <x:c r="G656" s="12" t="n">
        <x:f>F656/'客户小时分布'!$C$6</x:f>
        <x:v>0</x:v>
      </x:c>
      <x:c r="H656" s="12" t="n">
        <x:f>SUM($C$8:C656)/'客户小时分布'!$C$8</x:f>
        <x:v>0.999998535742525</x:v>
      </x:c>
    </x:row>
    <x:row r="657" ht="22" customHeight="1">
      <x:c r="A657" s="2"/>
      <x:c r="B657" s="8" t="n">
        <x:v>650</x:v>
      </x:c>
      <x:c r="C657" s="8" t="n">
        <x:v>0</x:v>
      </x:c>
      <x:c r="D657" s="12" t="n">
        <x:f>C657/'客户小时分布'!$C$8</x:f>
        <x:v>0</x:v>
      </x:c>
      <x:c r="E657" s="12" t="n">
        <x:f>C657/'客户小时分布'!$C$10</x:f>
        <x:v>0</x:v>
      </x:c>
      <x:c r="F657" s="8" t="n">
        <x:f>B657*C657</x:f>
        <x:v>0</x:v>
      </x:c>
      <x:c r="G657" s="12" t="n">
        <x:f>F657/'客户小时分布'!$C$6</x:f>
        <x:v>0</x:v>
      </x:c>
      <x:c r="H657" s="12" t="n">
        <x:f>SUM($C$8:C657)/'客户小时分布'!$C$8</x:f>
        <x:v>0.999998535742525</x:v>
      </x:c>
    </x:row>
    <x:row r="658" ht="22" customHeight="1">
      <x:c r="A658" s="2"/>
      <x:c r="B658" s="8" t="n">
        <x:v>651</x:v>
      </x:c>
      <x:c r="C658" s="8" t="n">
        <x:v>0</x:v>
      </x:c>
      <x:c r="D658" s="12" t="n">
        <x:f>C658/'客户小时分布'!$C$8</x:f>
        <x:v>0</x:v>
      </x:c>
      <x:c r="E658" s="12" t="n">
        <x:f>C658/'客户小时分布'!$C$10</x:f>
        <x:v>0</x:v>
      </x:c>
      <x:c r="F658" s="8" t="n">
        <x:f>B658*C658</x:f>
        <x:v>0</x:v>
      </x:c>
      <x:c r="G658" s="12" t="n">
        <x:f>F658/'客户小时分布'!$C$6</x:f>
        <x:v>0</x:v>
      </x:c>
      <x:c r="H658" s="12" t="n">
        <x:f>SUM($C$8:C658)/'客户小时分布'!$C$8</x:f>
        <x:v>0.999998535742525</x:v>
      </x:c>
    </x:row>
    <x:row r="659" ht="22" customHeight="1">
      <x:c r="A659" s="2"/>
      <x:c r="B659" s="8" t="n">
        <x:v>652</x:v>
      </x:c>
      <x:c r="C659" s="8" t="n">
        <x:v>0</x:v>
      </x:c>
      <x:c r="D659" s="12" t="n">
        <x:f>C659/'客户小时分布'!$C$8</x:f>
        <x:v>0</x:v>
      </x:c>
      <x:c r="E659" s="12" t="n">
        <x:f>C659/'客户小时分布'!$C$10</x:f>
        <x:v>0</x:v>
      </x:c>
      <x:c r="F659" s="8" t="n">
        <x:f>B659*C659</x:f>
        <x:v>0</x:v>
      </x:c>
      <x:c r="G659" s="12" t="n">
        <x:f>F659/'客户小时分布'!$C$6</x:f>
        <x:v>0</x:v>
      </x:c>
      <x:c r="H659" s="12" t="n">
        <x:f>SUM($C$8:C659)/'客户小时分布'!$C$8</x:f>
        <x:v>0.999998535742525</x:v>
      </x:c>
    </x:row>
    <x:row r="660" ht="22" customHeight="1">
      <x:c r="A660" s="2"/>
      <x:c r="B660" s="8" t="n">
        <x:v>653</x:v>
      </x:c>
      <x:c r="C660" s="8" t="n">
        <x:v>0</x:v>
      </x:c>
      <x:c r="D660" s="12" t="n">
        <x:f>C660/'客户小时分布'!$C$8</x:f>
        <x:v>0</x:v>
      </x:c>
      <x:c r="E660" s="12" t="n">
        <x:f>C660/'客户小时分布'!$C$10</x:f>
        <x:v>0</x:v>
      </x:c>
      <x:c r="F660" s="8" t="n">
        <x:f>B660*C660</x:f>
        <x:v>0</x:v>
      </x:c>
      <x:c r="G660" s="12" t="n">
        <x:f>F660/'客户小时分布'!$C$6</x:f>
        <x:v>0</x:v>
      </x:c>
      <x:c r="H660" s="12" t="n">
        <x:f>SUM($C$8:C660)/'客户小时分布'!$C$8</x:f>
        <x:v>0.999998535742525</x:v>
      </x:c>
    </x:row>
    <x:row r="661" ht="22" customHeight="1">
      <x:c r="A661" s="2"/>
      <x:c r="B661" s="8" t="n">
        <x:v>654</x:v>
      </x:c>
      <x:c r="C661" s="8" t="n">
        <x:v>0</x:v>
      </x:c>
      <x:c r="D661" s="12" t="n">
        <x:f>C661/'客户小时分布'!$C$8</x:f>
        <x:v>0</x:v>
      </x:c>
      <x:c r="E661" s="12" t="n">
        <x:f>C661/'客户小时分布'!$C$10</x:f>
        <x:v>0</x:v>
      </x:c>
      <x:c r="F661" s="8" t="n">
        <x:f>B661*C661</x:f>
        <x:v>0</x:v>
      </x:c>
      <x:c r="G661" s="12" t="n">
        <x:f>F661/'客户小时分布'!$C$6</x:f>
        <x:v>0</x:v>
      </x:c>
      <x:c r="H661" s="12" t="n">
        <x:f>SUM($C$8:C661)/'客户小时分布'!$C$8</x:f>
        <x:v>0.999998535742525</x:v>
      </x:c>
    </x:row>
    <x:row r="662" ht="22" customHeight="1">
      <x:c r="A662" s="2"/>
      <x:c r="B662" s="8" t="n">
        <x:v>655</x:v>
      </x:c>
      <x:c r="C662" s="8" t="n">
        <x:v>0</x:v>
      </x:c>
      <x:c r="D662" s="12" t="n">
        <x:f>C662/'客户小时分布'!$C$8</x:f>
        <x:v>0</x:v>
      </x:c>
      <x:c r="E662" s="12" t="n">
        <x:f>C662/'客户小时分布'!$C$10</x:f>
        <x:v>0</x:v>
      </x:c>
      <x:c r="F662" s="8" t="n">
        <x:f>B662*C662</x:f>
        <x:v>0</x:v>
      </x:c>
      <x:c r="G662" s="12" t="n">
        <x:f>F662/'客户小时分布'!$C$6</x:f>
        <x:v>0</x:v>
      </x:c>
      <x:c r="H662" s="12" t="n">
        <x:f>SUM($C$8:C662)/'客户小时分布'!$C$8</x:f>
        <x:v>0.999998535742525</x:v>
      </x:c>
    </x:row>
    <x:row r="663" ht="22" customHeight="1">
      <x:c r="A663" s="2"/>
      <x:c r="B663" s="8" t="n">
        <x:v>656</x:v>
      </x:c>
      <x:c r="C663" s="8" t="n">
        <x:v>0</x:v>
      </x:c>
      <x:c r="D663" s="12" t="n">
        <x:f>C663/'客户小时分布'!$C$8</x:f>
        <x:v>0</x:v>
      </x:c>
      <x:c r="E663" s="12" t="n">
        <x:f>C663/'客户小时分布'!$C$10</x:f>
        <x:v>0</x:v>
      </x:c>
      <x:c r="F663" s="8" t="n">
        <x:f>B663*C663</x:f>
        <x:v>0</x:v>
      </x:c>
      <x:c r="G663" s="12" t="n">
        <x:f>F663/'客户小时分布'!$C$6</x:f>
        <x:v>0</x:v>
      </x:c>
      <x:c r="H663" s="12" t="n">
        <x:f>SUM($C$8:C663)/'客户小时分布'!$C$8</x:f>
        <x:v>0.999998535742525</x:v>
      </x:c>
    </x:row>
    <x:row r="664" ht="22" customHeight="1">
      <x:c r="A664" s="2"/>
      <x:c r="B664" s="8" t="n">
        <x:v>657</x:v>
      </x:c>
      <x:c r="C664" s="8" t="n">
        <x:v>0</x:v>
      </x:c>
      <x:c r="D664" s="12" t="n">
        <x:f>C664/'客户小时分布'!$C$8</x:f>
        <x:v>0</x:v>
      </x:c>
      <x:c r="E664" s="12" t="n">
        <x:f>C664/'客户小时分布'!$C$10</x:f>
        <x:v>0</x:v>
      </x:c>
      <x:c r="F664" s="8" t="n">
        <x:f>B664*C664</x:f>
        <x:v>0</x:v>
      </x:c>
      <x:c r="G664" s="12" t="n">
        <x:f>F664/'客户小时分布'!$C$6</x:f>
        <x:v>0</x:v>
      </x:c>
      <x:c r="H664" s="12" t="n">
        <x:f>SUM($C$8:C664)/'客户小时分布'!$C$8</x:f>
        <x:v>0.999998535742525</x:v>
      </x:c>
    </x:row>
    <x:row r="665" ht="22" customHeight="1">
      <x:c r="A665" s="2"/>
      <x:c r="B665" s="8" t="n">
        <x:v>658</x:v>
      </x:c>
      <x:c r="C665" s="8" t="n">
        <x:v>0</x:v>
      </x:c>
      <x:c r="D665" s="12" t="n">
        <x:f>C665/'客户小时分布'!$C$8</x:f>
        <x:v>0</x:v>
      </x:c>
      <x:c r="E665" s="12" t="n">
        <x:f>C665/'客户小时分布'!$C$10</x:f>
        <x:v>0</x:v>
      </x:c>
      <x:c r="F665" s="8" t="n">
        <x:f>B665*C665</x:f>
        <x:v>0</x:v>
      </x:c>
      <x:c r="G665" s="12" t="n">
        <x:f>F665/'客户小时分布'!$C$6</x:f>
        <x:v>0</x:v>
      </x:c>
      <x:c r="H665" s="12" t="n">
        <x:f>SUM($C$8:C665)/'客户小时分布'!$C$8</x:f>
        <x:v>0.999998535742525</x:v>
      </x:c>
    </x:row>
    <x:row r="666" ht="22" customHeight="1">
      <x:c r="A666" s="2"/>
      <x:c r="B666" s="8" t="n">
        <x:v>659</x:v>
      </x:c>
      <x:c r="C666" s="8" t="n">
        <x:v>0</x:v>
      </x:c>
      <x:c r="D666" s="12" t="n">
        <x:f>C666/'客户小时分布'!$C$8</x:f>
        <x:v>0</x:v>
      </x:c>
      <x:c r="E666" s="12" t="n">
        <x:f>C666/'客户小时分布'!$C$10</x:f>
        <x:v>0</x:v>
      </x:c>
      <x:c r="F666" s="8" t="n">
        <x:f>B666*C666</x:f>
        <x:v>0</x:v>
      </x:c>
      <x:c r="G666" s="12" t="n">
        <x:f>F666/'客户小时分布'!$C$6</x:f>
        <x:v>0</x:v>
      </x:c>
      <x:c r="H666" s="12" t="n">
        <x:f>SUM($C$8:C666)/'客户小时分布'!$C$8</x:f>
        <x:v>0.999998535742525</x:v>
      </x:c>
    </x:row>
    <x:row r="667" ht="22" customHeight="1">
      <x:c r="A667" s="2"/>
      <x:c r="B667" s="8" t="n">
        <x:v>660</x:v>
      </x:c>
      <x:c r="C667" s="8" t="n">
        <x:v>0</x:v>
      </x:c>
      <x:c r="D667" s="12" t="n">
        <x:f>C667/'客户小时分布'!$C$8</x:f>
        <x:v>0</x:v>
      </x:c>
      <x:c r="E667" s="12" t="n">
        <x:f>C667/'客户小时分布'!$C$10</x:f>
        <x:v>0</x:v>
      </x:c>
      <x:c r="F667" s="8" t="n">
        <x:f>B667*C667</x:f>
        <x:v>0</x:v>
      </x:c>
      <x:c r="G667" s="12" t="n">
        <x:f>F667/'客户小时分布'!$C$6</x:f>
        <x:v>0</x:v>
      </x:c>
      <x:c r="H667" s="12" t="n">
        <x:f>SUM($C$8:C667)/'客户小时分布'!$C$8</x:f>
        <x:v>0.999998535742525</x:v>
      </x:c>
    </x:row>
    <x:row r="668" ht="22" customHeight="1">
      <x:c r="A668" s="2"/>
      <x:c r="B668" s="8" t="n">
        <x:v>661</x:v>
      </x:c>
      <x:c r="C668" s="8" t="n">
        <x:v>0</x:v>
      </x:c>
      <x:c r="D668" s="12" t="n">
        <x:f>C668/'客户小时分布'!$C$8</x:f>
        <x:v>0</x:v>
      </x:c>
      <x:c r="E668" s="12" t="n">
        <x:f>C668/'客户小时分布'!$C$10</x:f>
        <x:v>0</x:v>
      </x:c>
      <x:c r="F668" s="8" t="n">
        <x:f>B668*C668</x:f>
        <x:v>0</x:v>
      </x:c>
      <x:c r="G668" s="12" t="n">
        <x:f>F668/'客户小时分布'!$C$6</x:f>
        <x:v>0</x:v>
      </x:c>
      <x:c r="H668" s="12" t="n">
        <x:f>SUM($C$8:C668)/'客户小时分布'!$C$8</x:f>
        <x:v>0.999998535742525</x:v>
      </x:c>
    </x:row>
    <x:row r="669" ht="22" customHeight="1">
      <x:c r="A669" s="2"/>
      <x:c r="B669" s="8" t="n">
        <x:v>662</x:v>
      </x:c>
      <x:c r="C669" s="8" t="n">
        <x:v>0</x:v>
      </x:c>
      <x:c r="D669" s="12" t="n">
        <x:f>C669/'客户小时分布'!$C$8</x:f>
        <x:v>0</x:v>
      </x:c>
      <x:c r="E669" s="12" t="n">
        <x:f>C669/'客户小时分布'!$C$10</x:f>
        <x:v>0</x:v>
      </x:c>
      <x:c r="F669" s="8" t="n">
        <x:f>B669*C669</x:f>
        <x:v>0</x:v>
      </x:c>
      <x:c r="G669" s="12" t="n">
        <x:f>F669/'客户小时分布'!$C$6</x:f>
        <x:v>0</x:v>
      </x:c>
      <x:c r="H669" s="12" t="n">
        <x:f>SUM($C$8:C669)/'客户小时分布'!$C$8</x:f>
        <x:v>0.999998535742525</x:v>
      </x:c>
    </x:row>
    <x:row r="670" ht="22" customHeight="1">
      <x:c r="A670" s="2"/>
      <x:c r="B670" s="8" t="n">
        <x:v>663</x:v>
      </x:c>
      <x:c r="C670" s="8" t="n">
        <x:v>0</x:v>
      </x:c>
      <x:c r="D670" s="12" t="n">
        <x:f>C670/'客户小时分布'!$C$8</x:f>
        <x:v>0</x:v>
      </x:c>
      <x:c r="E670" s="12" t="n">
        <x:f>C670/'客户小时分布'!$C$10</x:f>
        <x:v>0</x:v>
      </x:c>
      <x:c r="F670" s="8" t="n">
        <x:f>B670*C670</x:f>
        <x:v>0</x:v>
      </x:c>
      <x:c r="G670" s="12" t="n">
        <x:f>F670/'客户小时分布'!$C$6</x:f>
        <x:v>0</x:v>
      </x:c>
      <x:c r="H670" s="12" t="n">
        <x:f>SUM($C$8:C670)/'客户小时分布'!$C$8</x:f>
        <x:v>0.999998535742525</x:v>
      </x:c>
    </x:row>
    <x:row r="671" ht="22" customHeight="1">
      <x:c r="A671" s="2"/>
      <x:c r="B671" s="8" t="n">
        <x:v>664</x:v>
      </x:c>
      <x:c r="C671" s="8" t="n">
        <x:v>0</x:v>
      </x:c>
      <x:c r="D671" s="12" t="n">
        <x:f>C671/'客户小时分布'!$C$8</x:f>
        <x:v>0</x:v>
      </x:c>
      <x:c r="E671" s="12" t="n">
        <x:f>C671/'客户小时分布'!$C$10</x:f>
        <x:v>0</x:v>
      </x:c>
      <x:c r="F671" s="8" t="n">
        <x:f>B671*C671</x:f>
        <x:v>0</x:v>
      </x:c>
      <x:c r="G671" s="12" t="n">
        <x:f>F671/'客户小时分布'!$C$6</x:f>
        <x:v>0</x:v>
      </x:c>
      <x:c r="H671" s="12" t="n">
        <x:f>SUM($C$8:C671)/'客户小时分布'!$C$8</x:f>
        <x:v>0.999998535742525</x:v>
      </x:c>
    </x:row>
    <x:row r="672" ht="22" customHeight="1">
      <x:c r="A672" s="2"/>
      <x:c r="B672" s="8" t="n">
        <x:v>665</x:v>
      </x:c>
      <x:c r="C672" s="8" t="n">
        <x:v>0</x:v>
      </x:c>
      <x:c r="D672" s="12" t="n">
        <x:f>C672/'客户小时分布'!$C$8</x:f>
        <x:v>0</x:v>
      </x:c>
      <x:c r="E672" s="12" t="n">
        <x:f>C672/'客户小时分布'!$C$10</x:f>
        <x:v>0</x:v>
      </x:c>
      <x:c r="F672" s="8" t="n">
        <x:f>B672*C672</x:f>
        <x:v>0</x:v>
      </x:c>
      <x:c r="G672" s="12" t="n">
        <x:f>F672/'客户小时分布'!$C$6</x:f>
        <x:v>0</x:v>
      </x:c>
      <x:c r="H672" s="12" t="n">
        <x:f>SUM($C$8:C672)/'客户小时分布'!$C$8</x:f>
        <x:v>0.999998535742525</x:v>
      </x:c>
    </x:row>
    <x:row r="673" ht="22" customHeight="1">
      <x:c r="A673" s="2"/>
      <x:c r="B673" s="8" t="n">
        <x:v>666</x:v>
      </x:c>
      <x:c r="C673" s="8" t="n">
        <x:v>0</x:v>
      </x:c>
      <x:c r="D673" s="12" t="n">
        <x:f>C673/'客户小时分布'!$C$8</x:f>
        <x:v>0</x:v>
      </x:c>
      <x:c r="E673" s="12" t="n">
        <x:f>C673/'客户小时分布'!$C$10</x:f>
        <x:v>0</x:v>
      </x:c>
      <x:c r="F673" s="8" t="n">
        <x:f>B673*C673</x:f>
        <x:v>0</x:v>
      </x:c>
      <x:c r="G673" s="12" t="n">
        <x:f>F673/'客户小时分布'!$C$6</x:f>
        <x:v>0</x:v>
      </x:c>
      <x:c r="H673" s="12" t="n">
        <x:f>SUM($C$8:C673)/'客户小时分布'!$C$8</x:f>
        <x:v>0.999998535742525</x:v>
      </x:c>
    </x:row>
    <x:row r="674" ht="22" customHeight="1">
      <x:c r="A674" s="2"/>
      <x:c r="B674" s="8" t="n">
        <x:v>667</x:v>
      </x:c>
      <x:c r="C674" s="8" t="n">
        <x:v>0</x:v>
      </x:c>
      <x:c r="D674" s="12" t="n">
        <x:f>C674/'客户小时分布'!$C$8</x:f>
        <x:v>0</x:v>
      </x:c>
      <x:c r="E674" s="12" t="n">
        <x:f>C674/'客户小时分布'!$C$10</x:f>
        <x:v>0</x:v>
      </x:c>
      <x:c r="F674" s="8" t="n">
        <x:f>B674*C674</x:f>
        <x:v>0</x:v>
      </x:c>
      <x:c r="G674" s="12" t="n">
        <x:f>F674/'客户小时分布'!$C$6</x:f>
        <x:v>0</x:v>
      </x:c>
      <x:c r="H674" s="12" t="n">
        <x:f>SUM($C$8:C674)/'客户小时分布'!$C$8</x:f>
        <x:v>0.999998535742525</x:v>
      </x:c>
    </x:row>
    <x:row r="675" ht="22" customHeight="1">
      <x:c r="A675" s="2"/>
      <x:c r="B675" s="8" t="n">
        <x:v>668</x:v>
      </x:c>
      <x:c r="C675" s="8" t="n">
        <x:v>0</x:v>
      </x:c>
      <x:c r="D675" s="12" t="n">
        <x:f>C675/'客户小时分布'!$C$8</x:f>
        <x:v>0</x:v>
      </x:c>
      <x:c r="E675" s="12" t="n">
        <x:f>C675/'客户小时分布'!$C$10</x:f>
        <x:v>0</x:v>
      </x:c>
      <x:c r="F675" s="8" t="n">
        <x:f>B675*C675</x:f>
        <x:v>0</x:v>
      </x:c>
      <x:c r="G675" s="12" t="n">
        <x:f>F675/'客户小时分布'!$C$6</x:f>
        <x:v>0</x:v>
      </x:c>
      <x:c r="H675" s="12" t="n">
        <x:f>SUM($C$8:C675)/'客户小时分布'!$C$8</x:f>
        <x:v>0.999998535742525</x:v>
      </x:c>
    </x:row>
    <x:row r="676" ht="22" customHeight="1">
      <x:c r="A676" s="2"/>
      <x:c r="B676" s="8" t="n">
        <x:v>669</x:v>
      </x:c>
      <x:c r="C676" s="8" t="n">
        <x:v>0</x:v>
      </x:c>
      <x:c r="D676" s="12" t="n">
        <x:f>C676/'客户小时分布'!$C$8</x:f>
        <x:v>0</x:v>
      </x:c>
      <x:c r="E676" s="12" t="n">
        <x:f>C676/'客户小时分布'!$C$10</x:f>
        <x:v>0</x:v>
      </x:c>
      <x:c r="F676" s="8" t="n">
        <x:f>B676*C676</x:f>
        <x:v>0</x:v>
      </x:c>
      <x:c r="G676" s="12" t="n">
        <x:f>F676/'客户小时分布'!$C$6</x:f>
        <x:v>0</x:v>
      </x:c>
      <x:c r="H676" s="12" t="n">
        <x:f>SUM($C$8:C676)/'客户小时分布'!$C$8</x:f>
        <x:v>0.999998535742525</x:v>
      </x:c>
    </x:row>
    <x:row r="677" ht="22" customHeight="1">
      <x:c r="A677" s="2"/>
      <x:c r="B677" s="8" t="n">
        <x:v>670</x:v>
      </x:c>
      <x:c r="C677" s="8" t="n">
        <x:v>0</x:v>
      </x:c>
      <x:c r="D677" s="12" t="n">
        <x:f>C677/'客户小时分布'!$C$8</x:f>
        <x:v>0</x:v>
      </x:c>
      <x:c r="E677" s="12" t="n">
        <x:f>C677/'客户小时分布'!$C$10</x:f>
        <x:v>0</x:v>
      </x:c>
      <x:c r="F677" s="8" t="n">
        <x:f>B677*C677</x:f>
        <x:v>0</x:v>
      </x:c>
      <x:c r="G677" s="12" t="n">
        <x:f>F677/'客户小时分布'!$C$6</x:f>
        <x:v>0</x:v>
      </x:c>
      <x:c r="H677" s="12" t="n">
        <x:f>SUM($C$8:C677)/'客户小时分布'!$C$8</x:f>
        <x:v>0.999998535742525</x:v>
      </x:c>
    </x:row>
    <x:row r="678" ht="22" customHeight="1">
      <x:c r="A678" s="2"/>
      <x:c r="B678" s="8" t="n">
        <x:v>671</x:v>
      </x:c>
      <x:c r="C678" s="8" t="n">
        <x:v>0</x:v>
      </x:c>
      <x:c r="D678" s="12" t="n">
        <x:f>C678/'客户小时分布'!$C$8</x:f>
        <x:v>0</x:v>
      </x:c>
      <x:c r="E678" s="12" t="n">
        <x:f>C678/'客户小时分布'!$C$10</x:f>
        <x:v>0</x:v>
      </x:c>
      <x:c r="F678" s="8" t="n">
        <x:f>B678*C678</x:f>
        <x:v>0</x:v>
      </x:c>
      <x:c r="G678" s="12" t="n">
        <x:f>F678/'客户小时分布'!$C$6</x:f>
        <x:v>0</x:v>
      </x:c>
      <x:c r="H678" s="12" t="n">
        <x:f>SUM($C$8:C678)/'客户小时分布'!$C$8</x:f>
        <x:v>0.999998535742525</x:v>
      </x:c>
    </x:row>
    <x:row r="679" ht="22" customHeight="1">
      <x:c r="A679" s="2"/>
      <x:c r="B679" s="8" t="n">
        <x:v>672</x:v>
      </x:c>
      <x:c r="C679" s="8" t="n">
        <x:v>0</x:v>
      </x:c>
      <x:c r="D679" s="12" t="n">
        <x:f>C679/'客户小时分布'!$C$8</x:f>
        <x:v>0</x:v>
      </x:c>
      <x:c r="E679" s="12" t="n">
        <x:f>C679/'客户小时分布'!$C$10</x:f>
        <x:v>0</x:v>
      </x:c>
      <x:c r="F679" s="8" t="n">
        <x:f>B679*C679</x:f>
        <x:v>0</x:v>
      </x:c>
      <x:c r="G679" s="12" t="n">
        <x:f>F679/'客户小时分布'!$C$6</x:f>
        <x:v>0</x:v>
      </x:c>
      <x:c r="H679" s="12" t="n">
        <x:f>SUM($C$8:C679)/'客户小时分布'!$C$8</x:f>
        <x:v>0.999998535742525</x:v>
      </x:c>
    </x:row>
    <x:row r="680" ht="22" customHeight="1">
      <x:c r="A680" s="2"/>
      <x:c r="B680" s="8" t="n">
        <x:v>673</x:v>
      </x:c>
      <x:c r="C680" s="8" t="n">
        <x:v>0</x:v>
      </x:c>
      <x:c r="D680" s="12" t="n">
        <x:f>C680/'客户小时分布'!$C$8</x:f>
        <x:v>0</x:v>
      </x:c>
      <x:c r="E680" s="12" t="n">
        <x:f>C680/'客户小时分布'!$C$10</x:f>
        <x:v>0</x:v>
      </x:c>
      <x:c r="F680" s="8" t="n">
        <x:f>B680*C680</x:f>
        <x:v>0</x:v>
      </x:c>
      <x:c r="G680" s="12" t="n">
        <x:f>F680/'客户小时分布'!$C$6</x:f>
        <x:v>0</x:v>
      </x:c>
      <x:c r="H680" s="12" t="n">
        <x:f>SUM($C$8:C680)/'客户小时分布'!$C$8</x:f>
        <x:v>0.999998535742525</x:v>
      </x:c>
    </x:row>
    <x:row r="681" ht="22" customHeight="1">
      <x:c r="A681" s="2"/>
      <x:c r="B681" s="8" t="n">
        <x:v>674</x:v>
      </x:c>
      <x:c r="C681" s="8" t="n">
        <x:v>0</x:v>
      </x:c>
      <x:c r="D681" s="12" t="n">
        <x:f>C681/'客户小时分布'!$C$8</x:f>
        <x:v>0</x:v>
      </x:c>
      <x:c r="E681" s="12" t="n">
        <x:f>C681/'客户小时分布'!$C$10</x:f>
        <x:v>0</x:v>
      </x:c>
      <x:c r="F681" s="8" t="n">
        <x:f>B681*C681</x:f>
        <x:v>0</x:v>
      </x:c>
      <x:c r="G681" s="12" t="n">
        <x:f>F681/'客户小时分布'!$C$6</x:f>
        <x:v>0</x:v>
      </x:c>
      <x:c r="H681" s="12" t="n">
        <x:f>SUM($C$8:C681)/'客户小时分布'!$C$8</x:f>
        <x:v>0.999998535742525</x:v>
      </x:c>
    </x:row>
    <x:row r="682" ht="22" customHeight="1">
      <x:c r="A682" s="2"/>
      <x:c r="B682" s="8" t="n">
        <x:v>675</x:v>
      </x:c>
      <x:c r="C682" s="8" t="n">
        <x:v>0</x:v>
      </x:c>
      <x:c r="D682" s="12" t="n">
        <x:f>C682/'客户小时分布'!$C$8</x:f>
        <x:v>0</x:v>
      </x:c>
      <x:c r="E682" s="12" t="n">
        <x:f>C682/'客户小时分布'!$C$10</x:f>
        <x:v>0</x:v>
      </x:c>
      <x:c r="F682" s="8" t="n">
        <x:f>B682*C682</x:f>
        <x:v>0</x:v>
      </x:c>
      <x:c r="G682" s="12" t="n">
        <x:f>F682/'客户小时分布'!$C$6</x:f>
        <x:v>0</x:v>
      </x:c>
      <x:c r="H682" s="12" t="n">
        <x:f>SUM($C$8:C682)/'客户小时分布'!$C$8</x:f>
        <x:v>0.999998535742525</x:v>
      </x:c>
    </x:row>
    <x:row r="683" ht="22" customHeight="1">
      <x:c r="A683" s="2"/>
      <x:c r="B683" s="8" t="n">
        <x:v>676</x:v>
      </x:c>
      <x:c r="C683" s="8" t="n">
        <x:v>0</x:v>
      </x:c>
      <x:c r="D683" s="12" t="n">
        <x:f>C683/'客户小时分布'!$C$8</x:f>
        <x:v>0</x:v>
      </x:c>
      <x:c r="E683" s="12" t="n">
        <x:f>C683/'客户小时分布'!$C$10</x:f>
        <x:v>0</x:v>
      </x:c>
      <x:c r="F683" s="8" t="n">
        <x:f>B683*C683</x:f>
        <x:v>0</x:v>
      </x:c>
      <x:c r="G683" s="12" t="n">
        <x:f>F683/'客户小时分布'!$C$6</x:f>
        <x:v>0</x:v>
      </x:c>
      <x:c r="H683" s="12" t="n">
        <x:f>SUM($C$8:C683)/'客户小时分布'!$C$8</x:f>
        <x:v>0.999998535742525</x:v>
      </x:c>
    </x:row>
    <x:row r="684" ht="22" customHeight="1">
      <x:c r="A684" s="2"/>
      <x:c r="B684" s="8" t="n">
        <x:v>677</x:v>
      </x:c>
      <x:c r="C684" s="8" t="n">
        <x:v>0</x:v>
      </x:c>
      <x:c r="D684" s="12" t="n">
        <x:f>C684/'客户小时分布'!$C$8</x:f>
        <x:v>0</x:v>
      </x:c>
      <x:c r="E684" s="12" t="n">
        <x:f>C684/'客户小时分布'!$C$10</x:f>
        <x:v>0</x:v>
      </x:c>
      <x:c r="F684" s="8" t="n">
        <x:f>B684*C684</x:f>
        <x:v>0</x:v>
      </x:c>
      <x:c r="G684" s="12" t="n">
        <x:f>F684/'客户小时分布'!$C$6</x:f>
        <x:v>0</x:v>
      </x:c>
      <x:c r="H684" s="12" t="n">
        <x:f>SUM($C$8:C684)/'客户小时分布'!$C$8</x:f>
        <x:v>0.999998535742525</x:v>
      </x:c>
    </x:row>
    <x:row r="685" ht="22" customHeight="1">
      <x:c r="A685" s="2"/>
      <x:c r="B685" s="8" t="n">
        <x:v>678</x:v>
      </x:c>
      <x:c r="C685" s="8" t="n">
        <x:v>0</x:v>
      </x:c>
      <x:c r="D685" s="12" t="n">
        <x:f>C685/'客户小时分布'!$C$8</x:f>
        <x:v>0</x:v>
      </x:c>
      <x:c r="E685" s="12" t="n">
        <x:f>C685/'客户小时分布'!$C$10</x:f>
        <x:v>0</x:v>
      </x:c>
      <x:c r="F685" s="8" t="n">
        <x:f>B685*C685</x:f>
        <x:v>0</x:v>
      </x:c>
      <x:c r="G685" s="12" t="n">
        <x:f>F685/'客户小时分布'!$C$6</x:f>
        <x:v>0</x:v>
      </x:c>
      <x:c r="H685" s="12" t="n">
        <x:f>SUM($C$8:C685)/'客户小时分布'!$C$8</x:f>
        <x:v>0.999998535742525</x:v>
      </x:c>
    </x:row>
    <x:row r="686" ht="22" customHeight="1">
      <x:c r="A686" s="2"/>
      <x:c r="B686" s="8" t="n">
        <x:v>679</x:v>
      </x:c>
      <x:c r="C686" s="8" t="n">
        <x:v>0</x:v>
      </x:c>
      <x:c r="D686" s="12" t="n">
        <x:f>C686/'客户小时分布'!$C$8</x:f>
        <x:v>0</x:v>
      </x:c>
      <x:c r="E686" s="12" t="n">
        <x:f>C686/'客户小时分布'!$C$10</x:f>
        <x:v>0</x:v>
      </x:c>
      <x:c r="F686" s="8" t="n">
        <x:f>B686*C686</x:f>
        <x:v>0</x:v>
      </x:c>
      <x:c r="G686" s="12" t="n">
        <x:f>F686/'客户小时分布'!$C$6</x:f>
        <x:v>0</x:v>
      </x:c>
      <x:c r="H686" s="12" t="n">
        <x:f>SUM($C$8:C686)/'客户小时分布'!$C$8</x:f>
        <x:v>0.999998535742525</x:v>
      </x:c>
    </x:row>
    <x:row r="687" ht="22" customHeight="1">
      <x:c r="A687" s="2"/>
      <x:c r="B687" s="8" t="n">
        <x:v>680</x:v>
      </x:c>
      <x:c r="C687" s="8" t="n">
        <x:v>0</x:v>
      </x:c>
      <x:c r="D687" s="12" t="n">
        <x:f>C687/'客户小时分布'!$C$8</x:f>
        <x:v>0</x:v>
      </x:c>
      <x:c r="E687" s="12" t="n">
        <x:f>C687/'客户小时分布'!$C$10</x:f>
        <x:v>0</x:v>
      </x:c>
      <x:c r="F687" s="8" t="n">
        <x:f>B687*C687</x:f>
        <x:v>0</x:v>
      </x:c>
      <x:c r="G687" s="12" t="n">
        <x:f>F687/'客户小时分布'!$C$6</x:f>
        <x:v>0</x:v>
      </x:c>
      <x:c r="H687" s="12" t="n">
        <x:f>SUM($C$8:C687)/'客户小时分布'!$C$8</x:f>
        <x:v>0.999998535742525</x:v>
      </x:c>
    </x:row>
    <x:row r="688" ht="22" customHeight="1">
      <x:c r="A688" s="2"/>
      <x:c r="B688" s="8" t="n">
        <x:v>681</x:v>
      </x:c>
      <x:c r="C688" s="8" t="n">
        <x:v>0</x:v>
      </x:c>
      <x:c r="D688" s="12" t="n">
        <x:f>C688/'客户小时分布'!$C$8</x:f>
        <x:v>0</x:v>
      </x:c>
      <x:c r="E688" s="12" t="n">
        <x:f>C688/'客户小时分布'!$C$10</x:f>
        <x:v>0</x:v>
      </x:c>
      <x:c r="F688" s="8" t="n">
        <x:f>B688*C688</x:f>
        <x:v>0</x:v>
      </x:c>
      <x:c r="G688" s="12" t="n">
        <x:f>F688/'客户小时分布'!$C$6</x:f>
        <x:v>0</x:v>
      </x:c>
      <x:c r="H688" s="12" t="n">
        <x:f>SUM($C$8:C688)/'客户小时分布'!$C$8</x:f>
        <x:v>0.999998535742525</x:v>
      </x:c>
    </x:row>
    <x:row r="689" ht="22" customHeight="1">
      <x:c r="A689" s="2"/>
      <x:c r="B689" s="8" t="n">
        <x:v>682</x:v>
      </x:c>
      <x:c r="C689" s="8" t="n">
        <x:v>0</x:v>
      </x:c>
      <x:c r="D689" s="12" t="n">
        <x:f>C689/'客户小时分布'!$C$8</x:f>
        <x:v>0</x:v>
      </x:c>
      <x:c r="E689" s="12" t="n">
        <x:f>C689/'客户小时分布'!$C$10</x:f>
        <x:v>0</x:v>
      </x:c>
      <x:c r="F689" s="8" t="n">
        <x:f>B689*C689</x:f>
        <x:v>0</x:v>
      </x:c>
      <x:c r="G689" s="12" t="n">
        <x:f>F689/'客户小时分布'!$C$6</x:f>
        <x:v>0</x:v>
      </x:c>
      <x:c r="H689" s="12" t="n">
        <x:f>SUM($C$8:C689)/'客户小时分布'!$C$8</x:f>
        <x:v>0.999998535742525</x:v>
      </x:c>
    </x:row>
    <x:row r="690" ht="22" customHeight="1">
      <x:c r="A690" s="2"/>
      <x:c r="B690" s="8" t="n">
        <x:v>683</x:v>
      </x:c>
      <x:c r="C690" s="8" t="n">
        <x:v>0</x:v>
      </x:c>
      <x:c r="D690" s="12" t="n">
        <x:f>C690/'客户小时分布'!$C$8</x:f>
        <x:v>0</x:v>
      </x:c>
      <x:c r="E690" s="12" t="n">
        <x:f>C690/'客户小时分布'!$C$10</x:f>
        <x:v>0</x:v>
      </x:c>
      <x:c r="F690" s="8" t="n">
        <x:f>B690*C690</x:f>
        <x:v>0</x:v>
      </x:c>
      <x:c r="G690" s="12" t="n">
        <x:f>F690/'客户小时分布'!$C$6</x:f>
        <x:v>0</x:v>
      </x:c>
      <x:c r="H690" s="12" t="n">
        <x:f>SUM($C$8:C690)/'客户小时分布'!$C$8</x:f>
        <x:v>0.999998535742525</x:v>
      </x:c>
    </x:row>
    <x:row r="691" ht="22" customHeight="1">
      <x:c r="A691" s="2"/>
      <x:c r="B691" s="8" t="n">
        <x:v>684</x:v>
      </x:c>
      <x:c r="C691" s="8" t="n">
        <x:v>0</x:v>
      </x:c>
      <x:c r="D691" s="12" t="n">
        <x:f>C691/'客户小时分布'!$C$8</x:f>
        <x:v>0</x:v>
      </x:c>
      <x:c r="E691" s="12" t="n">
        <x:f>C691/'客户小时分布'!$C$10</x:f>
        <x:v>0</x:v>
      </x:c>
      <x:c r="F691" s="8" t="n">
        <x:f>B691*C691</x:f>
        <x:v>0</x:v>
      </x:c>
      <x:c r="G691" s="12" t="n">
        <x:f>F691/'客户小时分布'!$C$6</x:f>
        <x:v>0</x:v>
      </x:c>
      <x:c r="H691" s="12" t="n">
        <x:f>SUM($C$8:C691)/'客户小时分布'!$C$8</x:f>
        <x:v>0.999998535742525</x:v>
      </x:c>
    </x:row>
    <x:row r="692" ht="22" customHeight="1">
      <x:c r="A692" s="2"/>
      <x:c r="B692" s="8" t="n">
        <x:v>685</x:v>
      </x:c>
      <x:c r="C692" s="8" t="n">
        <x:v>0</x:v>
      </x:c>
      <x:c r="D692" s="12" t="n">
        <x:f>C692/'客户小时分布'!$C$8</x:f>
        <x:v>0</x:v>
      </x:c>
      <x:c r="E692" s="12" t="n">
        <x:f>C692/'客户小时分布'!$C$10</x:f>
        <x:v>0</x:v>
      </x:c>
      <x:c r="F692" s="8" t="n">
        <x:f>B692*C692</x:f>
        <x:v>0</x:v>
      </x:c>
      <x:c r="G692" s="12" t="n">
        <x:f>F692/'客户小时分布'!$C$6</x:f>
        <x:v>0</x:v>
      </x:c>
      <x:c r="H692" s="12" t="n">
        <x:f>SUM($C$8:C692)/'客户小时分布'!$C$8</x:f>
        <x:v>0.999998535742525</x:v>
      </x:c>
    </x:row>
    <x:row r="693" ht="22" customHeight="1">
      <x:c r="A693" s="2"/>
      <x:c r="B693" s="8" t="n">
        <x:v>686</x:v>
      </x:c>
      <x:c r="C693" s="8" t="n">
        <x:v>0</x:v>
      </x:c>
      <x:c r="D693" s="12" t="n">
        <x:f>C693/'客户小时分布'!$C$8</x:f>
        <x:v>0</x:v>
      </x:c>
      <x:c r="E693" s="12" t="n">
        <x:f>C693/'客户小时分布'!$C$10</x:f>
        <x:v>0</x:v>
      </x:c>
      <x:c r="F693" s="8" t="n">
        <x:f>B693*C693</x:f>
        <x:v>0</x:v>
      </x:c>
      <x:c r="G693" s="12" t="n">
        <x:f>F693/'客户小时分布'!$C$6</x:f>
        <x:v>0</x:v>
      </x:c>
      <x:c r="H693" s="12" t="n">
        <x:f>SUM($C$8:C693)/'客户小时分布'!$C$8</x:f>
        <x:v>0.999998535742525</x:v>
      </x:c>
    </x:row>
    <x:row r="694" ht="22" customHeight="1">
      <x:c r="A694" s="2"/>
      <x:c r="B694" s="8" t="n">
        <x:v>687</x:v>
      </x:c>
      <x:c r="C694" s="8" t="n">
        <x:v>0</x:v>
      </x:c>
      <x:c r="D694" s="12" t="n">
        <x:f>C694/'客户小时分布'!$C$8</x:f>
        <x:v>0</x:v>
      </x:c>
      <x:c r="E694" s="12" t="n">
        <x:f>C694/'客户小时分布'!$C$10</x:f>
        <x:v>0</x:v>
      </x:c>
      <x:c r="F694" s="8" t="n">
        <x:f>B694*C694</x:f>
        <x:v>0</x:v>
      </x:c>
      <x:c r="G694" s="12" t="n">
        <x:f>F694/'客户小时分布'!$C$6</x:f>
        <x:v>0</x:v>
      </x:c>
      <x:c r="H694" s="12" t="n">
        <x:f>SUM($C$8:C694)/'客户小时分布'!$C$8</x:f>
        <x:v>0.999998535742525</x:v>
      </x:c>
    </x:row>
    <x:row r="695" ht="22" customHeight="1">
      <x:c r="A695" s="2"/>
      <x:c r="B695" s="8" t="n">
        <x:v>688</x:v>
      </x:c>
      <x:c r="C695" s="8" t="n">
        <x:v>0</x:v>
      </x:c>
      <x:c r="D695" s="12" t="n">
        <x:f>C695/'客户小时分布'!$C$8</x:f>
        <x:v>0</x:v>
      </x:c>
      <x:c r="E695" s="12" t="n">
        <x:f>C695/'客户小时分布'!$C$10</x:f>
        <x:v>0</x:v>
      </x:c>
      <x:c r="F695" s="8" t="n">
        <x:f>B695*C695</x:f>
        <x:v>0</x:v>
      </x:c>
      <x:c r="G695" s="12" t="n">
        <x:f>F695/'客户小时分布'!$C$6</x:f>
        <x:v>0</x:v>
      </x:c>
      <x:c r="H695" s="12" t="n">
        <x:f>SUM($C$8:C695)/'客户小时分布'!$C$8</x:f>
        <x:v>0.999998535742525</x:v>
      </x:c>
    </x:row>
    <x:row r="696" ht="22" customHeight="1">
      <x:c r="A696" s="2"/>
      <x:c r="B696" s="8" t="n">
        <x:v>689</x:v>
      </x:c>
      <x:c r="C696" s="8" t="n">
        <x:v>0</x:v>
      </x:c>
      <x:c r="D696" s="12" t="n">
        <x:f>C696/'客户小时分布'!$C$8</x:f>
        <x:v>0</x:v>
      </x:c>
      <x:c r="E696" s="12" t="n">
        <x:f>C696/'客户小时分布'!$C$10</x:f>
        <x:v>0</x:v>
      </x:c>
      <x:c r="F696" s="8" t="n">
        <x:f>B696*C696</x:f>
        <x:v>0</x:v>
      </x:c>
      <x:c r="G696" s="12" t="n">
        <x:f>F696/'客户小时分布'!$C$6</x:f>
        <x:v>0</x:v>
      </x:c>
      <x:c r="H696" s="12" t="n">
        <x:f>SUM($C$8:C696)/'客户小时分布'!$C$8</x:f>
        <x:v>0.999998535742525</x:v>
      </x:c>
    </x:row>
    <x:row r="697" ht="22" customHeight="1">
      <x:c r="A697" s="2"/>
      <x:c r="B697" s="8" t="n">
        <x:v>690</x:v>
      </x:c>
      <x:c r="C697" s="8" t="n">
        <x:v>0</x:v>
      </x:c>
      <x:c r="D697" s="12" t="n">
        <x:f>C697/'客户小时分布'!$C$8</x:f>
        <x:v>0</x:v>
      </x:c>
      <x:c r="E697" s="12" t="n">
        <x:f>C697/'客户小时分布'!$C$10</x:f>
        <x:v>0</x:v>
      </x:c>
      <x:c r="F697" s="8" t="n">
        <x:f>B697*C697</x:f>
        <x:v>0</x:v>
      </x:c>
      <x:c r="G697" s="12" t="n">
        <x:f>F697/'客户小时分布'!$C$6</x:f>
        <x:v>0</x:v>
      </x:c>
      <x:c r="H697" s="12" t="n">
        <x:f>SUM($C$8:C697)/'客户小时分布'!$C$8</x:f>
        <x:v>0.999998535742525</x:v>
      </x:c>
    </x:row>
    <x:row r="698" ht="22" customHeight="1">
      <x:c r="A698" s="2"/>
      <x:c r="B698" s="8" t="n">
        <x:v>691</x:v>
      </x:c>
      <x:c r="C698" s="8" t="n">
        <x:v>0</x:v>
      </x:c>
      <x:c r="D698" s="12" t="n">
        <x:f>C698/'客户小时分布'!$C$8</x:f>
        <x:v>0</x:v>
      </x:c>
      <x:c r="E698" s="12" t="n">
        <x:f>C698/'客户小时分布'!$C$10</x:f>
        <x:v>0</x:v>
      </x:c>
      <x:c r="F698" s="8" t="n">
        <x:f>B698*C698</x:f>
        <x:v>0</x:v>
      </x:c>
      <x:c r="G698" s="12" t="n">
        <x:f>F698/'客户小时分布'!$C$6</x:f>
        <x:v>0</x:v>
      </x:c>
      <x:c r="H698" s="12" t="n">
        <x:f>SUM($C$8:C698)/'客户小时分布'!$C$8</x:f>
        <x:v>0.999998535742525</x:v>
      </x:c>
    </x:row>
    <x:row r="699" ht="22" customHeight="1">
      <x:c r="A699" s="2"/>
      <x:c r="B699" s="8" t="n">
        <x:v>692</x:v>
      </x:c>
      <x:c r="C699" s="8" t="n">
        <x:v>0</x:v>
      </x:c>
      <x:c r="D699" s="12" t="n">
        <x:f>C699/'客户小时分布'!$C$8</x:f>
        <x:v>0</x:v>
      </x:c>
      <x:c r="E699" s="12" t="n">
        <x:f>C699/'客户小时分布'!$C$10</x:f>
        <x:v>0</x:v>
      </x:c>
      <x:c r="F699" s="8" t="n">
        <x:f>B699*C699</x:f>
        <x:v>0</x:v>
      </x:c>
      <x:c r="G699" s="12" t="n">
        <x:f>F699/'客户小时分布'!$C$6</x:f>
        <x:v>0</x:v>
      </x:c>
      <x:c r="H699" s="12" t="n">
        <x:f>SUM($C$8:C699)/'客户小时分布'!$C$8</x:f>
        <x:v>0.999998535742525</x:v>
      </x:c>
    </x:row>
    <x:row r="700" ht="22" customHeight="1">
      <x:c r="A700" s="2"/>
      <x:c r="B700" s="8" t="n">
        <x:v>693</x:v>
      </x:c>
      <x:c r="C700" s="8" t="n">
        <x:v>0</x:v>
      </x:c>
      <x:c r="D700" s="12" t="n">
        <x:f>C700/'客户小时分布'!$C$8</x:f>
        <x:v>0</x:v>
      </x:c>
      <x:c r="E700" s="12" t="n">
        <x:f>C700/'客户小时分布'!$C$10</x:f>
        <x:v>0</x:v>
      </x:c>
      <x:c r="F700" s="8" t="n">
        <x:f>B700*C700</x:f>
        <x:v>0</x:v>
      </x:c>
      <x:c r="G700" s="12" t="n">
        <x:f>F700/'客户小时分布'!$C$6</x:f>
        <x:v>0</x:v>
      </x:c>
      <x:c r="H700" s="12" t="n">
        <x:f>SUM($C$8:C700)/'客户小时分布'!$C$8</x:f>
        <x:v>0.999998535742525</x:v>
      </x:c>
    </x:row>
    <x:row r="701" ht="22" customHeight="1">
      <x:c r="A701" s="2"/>
      <x:c r="B701" s="8" t="n">
        <x:v>694</x:v>
      </x:c>
      <x:c r="C701" s="8" t="n">
        <x:v>0</x:v>
      </x:c>
      <x:c r="D701" s="12" t="n">
        <x:f>C701/'客户小时分布'!$C$8</x:f>
        <x:v>0</x:v>
      </x:c>
      <x:c r="E701" s="12" t="n">
        <x:f>C701/'客户小时分布'!$C$10</x:f>
        <x:v>0</x:v>
      </x:c>
      <x:c r="F701" s="8" t="n">
        <x:f>B701*C701</x:f>
        <x:v>0</x:v>
      </x:c>
      <x:c r="G701" s="12" t="n">
        <x:f>F701/'客户小时分布'!$C$6</x:f>
        <x:v>0</x:v>
      </x:c>
      <x:c r="H701" s="12" t="n">
        <x:f>SUM($C$8:C701)/'客户小时分布'!$C$8</x:f>
        <x:v>0.999998535742525</x:v>
      </x:c>
    </x:row>
    <x:row r="702" ht="22" customHeight="1">
      <x:c r="A702" s="2"/>
      <x:c r="B702" s="8" t="n">
        <x:v>695</x:v>
      </x:c>
      <x:c r="C702" s="8" t="n">
        <x:v>0</x:v>
      </x:c>
      <x:c r="D702" s="12" t="n">
        <x:f>C702/'客户小时分布'!$C$8</x:f>
        <x:v>0</x:v>
      </x:c>
      <x:c r="E702" s="12" t="n">
        <x:f>C702/'客户小时分布'!$C$10</x:f>
        <x:v>0</x:v>
      </x:c>
      <x:c r="F702" s="8" t="n">
        <x:f>B702*C702</x:f>
        <x:v>0</x:v>
      </x:c>
      <x:c r="G702" s="12" t="n">
        <x:f>F702/'客户小时分布'!$C$6</x:f>
        <x:v>0</x:v>
      </x:c>
      <x:c r="H702" s="12" t="n">
        <x:f>SUM($C$8:C702)/'客户小时分布'!$C$8</x:f>
        <x:v>0.999998535742525</x:v>
      </x:c>
    </x:row>
    <x:row r="703" ht="22" customHeight="1">
      <x:c r="A703" s="2"/>
      <x:c r="B703" s="8" t="n">
        <x:v>696</x:v>
      </x:c>
      <x:c r="C703" s="8" t="n">
        <x:v>0</x:v>
      </x:c>
      <x:c r="D703" s="12" t="n">
        <x:f>C703/'客户小时分布'!$C$8</x:f>
        <x:v>0</x:v>
      </x:c>
      <x:c r="E703" s="12" t="n">
        <x:f>C703/'客户小时分布'!$C$10</x:f>
        <x:v>0</x:v>
      </x:c>
      <x:c r="F703" s="8" t="n">
        <x:f>B703*C703</x:f>
        <x:v>0</x:v>
      </x:c>
      <x:c r="G703" s="12" t="n">
        <x:f>F703/'客户小时分布'!$C$6</x:f>
        <x:v>0</x:v>
      </x:c>
      <x:c r="H703" s="12" t="n">
        <x:f>SUM($C$8:C703)/'客户小时分布'!$C$8</x:f>
        <x:v>0.999998535742525</x:v>
      </x:c>
    </x:row>
    <x:row r="704" ht="22" customHeight="1">
      <x:c r="A704" s="2"/>
      <x:c r="B704" s="8" t="n">
        <x:v>697</x:v>
      </x:c>
      <x:c r="C704" s="8" t="n">
        <x:v>0</x:v>
      </x:c>
      <x:c r="D704" s="12" t="n">
        <x:f>C704/'客户小时分布'!$C$8</x:f>
        <x:v>0</x:v>
      </x:c>
      <x:c r="E704" s="12" t="n">
        <x:f>C704/'客户小时分布'!$C$10</x:f>
        <x:v>0</x:v>
      </x:c>
      <x:c r="F704" s="8" t="n">
        <x:f>B704*C704</x:f>
        <x:v>0</x:v>
      </x:c>
      <x:c r="G704" s="12" t="n">
        <x:f>F704/'客户小时分布'!$C$6</x:f>
        <x:v>0</x:v>
      </x:c>
      <x:c r="H704" s="12" t="n">
        <x:f>SUM($C$8:C704)/'客户小时分布'!$C$8</x:f>
        <x:v>0.999998535742525</x:v>
      </x:c>
    </x:row>
    <x:row r="705" ht="22" customHeight="1">
      <x:c r="A705" s="2"/>
      <x:c r="B705" s="8" t="n">
        <x:v>698</x:v>
      </x:c>
      <x:c r="C705" s="8" t="n">
        <x:v>0</x:v>
      </x:c>
      <x:c r="D705" s="12" t="n">
        <x:f>C705/'客户小时分布'!$C$8</x:f>
        <x:v>0</x:v>
      </x:c>
      <x:c r="E705" s="12" t="n">
        <x:f>C705/'客户小时分布'!$C$10</x:f>
        <x:v>0</x:v>
      </x:c>
      <x:c r="F705" s="8" t="n">
        <x:f>B705*C705</x:f>
        <x:v>0</x:v>
      </x:c>
      <x:c r="G705" s="12" t="n">
        <x:f>F705/'客户小时分布'!$C$6</x:f>
        <x:v>0</x:v>
      </x:c>
      <x:c r="H705" s="12" t="n">
        <x:f>SUM($C$8:C705)/'客户小时分布'!$C$8</x:f>
        <x:v>0.999998535742525</x:v>
      </x:c>
    </x:row>
    <x:row r="706" ht="22" customHeight="1">
      <x:c r="A706" s="2"/>
      <x:c r="B706" s="8" t="n">
        <x:v>699</x:v>
      </x:c>
      <x:c r="C706" s="8" t="n">
        <x:v>0</x:v>
      </x:c>
      <x:c r="D706" s="12" t="n">
        <x:f>C706/'客户小时分布'!$C$8</x:f>
        <x:v>0</x:v>
      </x:c>
      <x:c r="E706" s="12" t="n">
        <x:f>C706/'客户小时分布'!$C$10</x:f>
        <x:v>0</x:v>
      </x:c>
      <x:c r="F706" s="8" t="n">
        <x:f>B706*C706</x:f>
        <x:v>0</x:v>
      </x:c>
      <x:c r="G706" s="12" t="n">
        <x:f>F706/'客户小时分布'!$C$6</x:f>
        <x:v>0</x:v>
      </x:c>
      <x:c r="H706" s="12" t="n">
        <x:f>SUM($C$8:C706)/'客户小时分布'!$C$8</x:f>
        <x:v>0.999998535742525</x:v>
      </x:c>
    </x:row>
    <x:row r="707" ht="22" customHeight="1">
      <x:c r="A707" s="2"/>
      <x:c r="B707" s="8" t="n">
        <x:v>700</x:v>
      </x:c>
      <x:c r="C707" s="8" t="n">
        <x:v>0</x:v>
      </x:c>
      <x:c r="D707" s="12" t="n">
        <x:f>C707/'客户小时分布'!$C$8</x:f>
        <x:v>0</x:v>
      </x:c>
      <x:c r="E707" s="12" t="n">
        <x:f>C707/'客户小时分布'!$C$10</x:f>
        <x:v>0</x:v>
      </x:c>
      <x:c r="F707" s="8" t="n">
        <x:f>B707*C707</x:f>
        <x:v>0</x:v>
      </x:c>
      <x:c r="G707" s="12" t="n">
        <x:f>F707/'客户小时分布'!$C$6</x:f>
        <x:v>0</x:v>
      </x:c>
      <x:c r="H707" s="12" t="n">
        <x:f>SUM($C$8:C707)/'客户小时分布'!$C$8</x:f>
        <x:v>0.999998535742525</x:v>
      </x:c>
    </x:row>
    <x:row r="708" ht="22" customHeight="1">
      <x:c r="A708" s="2"/>
      <x:c r="B708" s="8" t="n">
        <x:v>701</x:v>
      </x:c>
      <x:c r="C708" s="8" t="n">
        <x:v>0</x:v>
      </x:c>
      <x:c r="D708" s="12" t="n">
        <x:f>C708/'客户小时分布'!$C$8</x:f>
        <x:v>0</x:v>
      </x:c>
      <x:c r="E708" s="12" t="n">
        <x:f>C708/'客户小时分布'!$C$10</x:f>
        <x:v>0</x:v>
      </x:c>
      <x:c r="F708" s="8" t="n">
        <x:f>B708*C708</x:f>
        <x:v>0</x:v>
      </x:c>
      <x:c r="G708" s="12" t="n">
        <x:f>F708/'客户小时分布'!$C$6</x:f>
        <x:v>0</x:v>
      </x:c>
      <x:c r="H708" s="12" t="n">
        <x:f>SUM($C$8:C708)/'客户小时分布'!$C$8</x:f>
        <x:v>0.999998535742525</x:v>
      </x:c>
    </x:row>
    <x:row r="709" ht="22" customHeight="1">
      <x:c r="A709" s="2"/>
      <x:c r="B709" s="8" t="n">
        <x:v>702</x:v>
      </x:c>
      <x:c r="C709" s="8" t="n">
        <x:v>0</x:v>
      </x:c>
      <x:c r="D709" s="12" t="n">
        <x:f>C709/'客户小时分布'!$C$8</x:f>
        <x:v>0</x:v>
      </x:c>
      <x:c r="E709" s="12" t="n">
        <x:f>C709/'客户小时分布'!$C$10</x:f>
        <x:v>0</x:v>
      </x:c>
      <x:c r="F709" s="8" t="n">
        <x:f>B709*C709</x:f>
        <x:v>0</x:v>
      </x:c>
      <x:c r="G709" s="12" t="n">
        <x:f>F709/'客户小时分布'!$C$6</x:f>
        <x:v>0</x:v>
      </x:c>
      <x:c r="H709" s="12" t="n">
        <x:f>SUM($C$8:C709)/'客户小时分布'!$C$8</x:f>
        <x:v>0.999998535742525</x:v>
      </x:c>
    </x:row>
    <x:row r="710" ht="22" customHeight="1">
      <x:c r="A710" s="2"/>
      <x:c r="B710" s="8" t="n">
        <x:v>703</x:v>
      </x:c>
      <x:c r="C710" s="8" t="n">
        <x:v>0</x:v>
      </x:c>
      <x:c r="D710" s="12" t="n">
        <x:f>C710/'客户小时分布'!$C$8</x:f>
        <x:v>0</x:v>
      </x:c>
      <x:c r="E710" s="12" t="n">
        <x:f>C710/'客户小时分布'!$C$10</x:f>
        <x:v>0</x:v>
      </x:c>
      <x:c r="F710" s="8" t="n">
        <x:f>B710*C710</x:f>
        <x:v>0</x:v>
      </x:c>
      <x:c r="G710" s="12" t="n">
        <x:f>F710/'客户小时分布'!$C$6</x:f>
        <x:v>0</x:v>
      </x:c>
      <x:c r="H710" s="12" t="n">
        <x:f>SUM($C$8:C710)/'客户小时分布'!$C$8</x:f>
        <x:v>0.999998535742525</x:v>
      </x:c>
    </x:row>
    <x:row r="711" ht="22" customHeight="1">
      <x:c r="A711" s="2"/>
      <x:c r="B711" s="8" t="n">
        <x:v>704</x:v>
      </x:c>
      <x:c r="C711" s="8" t="n">
        <x:v>0</x:v>
      </x:c>
      <x:c r="D711" s="12" t="n">
        <x:f>C711/'客户小时分布'!$C$8</x:f>
        <x:v>0</x:v>
      </x:c>
      <x:c r="E711" s="12" t="n">
        <x:f>C711/'客户小时分布'!$C$10</x:f>
        <x:v>0</x:v>
      </x:c>
      <x:c r="F711" s="8" t="n">
        <x:f>B711*C711</x:f>
        <x:v>0</x:v>
      </x:c>
      <x:c r="G711" s="12" t="n">
        <x:f>F711/'客户小时分布'!$C$6</x:f>
        <x:v>0</x:v>
      </x:c>
      <x:c r="H711" s="12" t="n">
        <x:f>SUM($C$8:C711)/'客户小时分布'!$C$8</x:f>
        <x:v>0.999998535742525</x:v>
      </x:c>
    </x:row>
    <x:row r="712" ht="22" customHeight="1">
      <x:c r="A712" s="2"/>
      <x:c r="B712" s="8" t="n">
        <x:v>705</x:v>
      </x:c>
      <x:c r="C712" s="8" t="n">
        <x:v>0</x:v>
      </x:c>
      <x:c r="D712" s="12" t="n">
        <x:f>C712/'客户小时分布'!$C$8</x:f>
        <x:v>0</x:v>
      </x:c>
      <x:c r="E712" s="12" t="n">
        <x:f>C712/'客户小时分布'!$C$10</x:f>
        <x:v>0</x:v>
      </x:c>
      <x:c r="F712" s="8" t="n">
        <x:f>B712*C712</x:f>
        <x:v>0</x:v>
      </x:c>
      <x:c r="G712" s="12" t="n">
        <x:f>F712/'客户小时分布'!$C$6</x:f>
        <x:v>0</x:v>
      </x:c>
      <x:c r="H712" s="12" t="n">
        <x:f>SUM($C$8:C712)/'客户小时分布'!$C$8</x:f>
        <x:v>0.999998535742525</x:v>
      </x:c>
    </x:row>
    <x:row r="713" ht="22" customHeight="1">
      <x:c r="A713" s="2"/>
      <x:c r="B713" s="8" t="n">
        <x:v>706</x:v>
      </x:c>
      <x:c r="C713" s="8" t="n">
        <x:v>0</x:v>
      </x:c>
      <x:c r="D713" s="12" t="n">
        <x:f>C713/'客户小时分布'!$C$8</x:f>
        <x:v>0</x:v>
      </x:c>
      <x:c r="E713" s="12" t="n">
        <x:f>C713/'客户小时分布'!$C$10</x:f>
        <x:v>0</x:v>
      </x:c>
      <x:c r="F713" s="8" t="n">
        <x:f>B713*C713</x:f>
        <x:v>0</x:v>
      </x:c>
      <x:c r="G713" s="12" t="n">
        <x:f>F713/'客户小时分布'!$C$6</x:f>
        <x:v>0</x:v>
      </x:c>
      <x:c r="H713" s="12" t="n">
        <x:f>SUM($C$8:C713)/'客户小时分布'!$C$8</x:f>
        <x:v>0.999998535742525</x:v>
      </x:c>
    </x:row>
    <x:row r="714" ht="22" customHeight="1">
      <x:c r="A714" s="2"/>
      <x:c r="B714" s="8" t="n">
        <x:v>707</x:v>
      </x:c>
      <x:c r="C714" s="8" t="n">
        <x:v>0</x:v>
      </x:c>
      <x:c r="D714" s="12" t="n">
        <x:f>C714/'客户小时分布'!$C$8</x:f>
        <x:v>0</x:v>
      </x:c>
      <x:c r="E714" s="12" t="n">
        <x:f>C714/'客户小时分布'!$C$10</x:f>
        <x:v>0</x:v>
      </x:c>
      <x:c r="F714" s="8" t="n">
        <x:f>B714*C714</x:f>
        <x:v>0</x:v>
      </x:c>
      <x:c r="G714" s="12" t="n">
        <x:f>F714/'客户小时分布'!$C$6</x:f>
        <x:v>0</x:v>
      </x:c>
      <x:c r="H714" s="12" t="n">
        <x:f>SUM($C$8:C714)/'客户小时分布'!$C$8</x:f>
        <x:v>0.999998535742525</x:v>
      </x:c>
    </x:row>
    <x:row r="715" ht="22" customHeight="1">
      <x:c r="A715" s="2"/>
      <x:c r="B715" s="8" t="n">
        <x:v>708</x:v>
      </x:c>
      <x:c r="C715" s="8" t="n">
        <x:v>0</x:v>
      </x:c>
      <x:c r="D715" s="12" t="n">
        <x:f>C715/'客户小时分布'!$C$8</x:f>
        <x:v>0</x:v>
      </x:c>
      <x:c r="E715" s="12" t="n">
        <x:f>C715/'客户小时分布'!$C$10</x:f>
        <x:v>0</x:v>
      </x:c>
      <x:c r="F715" s="8" t="n">
        <x:f>B715*C715</x:f>
        <x:v>0</x:v>
      </x:c>
      <x:c r="G715" s="12" t="n">
        <x:f>F715/'客户小时分布'!$C$6</x:f>
        <x:v>0</x:v>
      </x:c>
      <x:c r="H715" s="12" t="n">
        <x:f>SUM($C$8:C715)/'客户小时分布'!$C$8</x:f>
        <x:v>0.999998535742525</x:v>
      </x:c>
    </x:row>
    <x:row r="716" ht="22" customHeight="1">
      <x:c r="A716" s="2"/>
      <x:c r="B716" s="8" t="n">
        <x:v>709</x:v>
      </x:c>
      <x:c r="C716" s="8" t="n">
        <x:v>0</x:v>
      </x:c>
      <x:c r="D716" s="12" t="n">
        <x:f>C716/'客户小时分布'!$C$8</x:f>
        <x:v>0</x:v>
      </x:c>
      <x:c r="E716" s="12" t="n">
        <x:f>C716/'客户小时分布'!$C$10</x:f>
        <x:v>0</x:v>
      </x:c>
      <x:c r="F716" s="8" t="n">
        <x:f>B716*C716</x:f>
        <x:v>0</x:v>
      </x:c>
      <x:c r="G716" s="12" t="n">
        <x:f>F716/'客户小时分布'!$C$6</x:f>
        <x:v>0</x:v>
      </x:c>
      <x:c r="H716" s="12" t="n">
        <x:f>SUM($C$8:C716)/'客户小时分布'!$C$8</x:f>
        <x:v>0.999998535742525</x:v>
      </x:c>
    </x:row>
    <x:row r="717" ht="22" customHeight="1">
      <x:c r="A717" s="2"/>
      <x:c r="B717" s="8" t="n">
        <x:v>710</x:v>
      </x:c>
      <x:c r="C717" s="8" t="n">
        <x:v>0</x:v>
      </x:c>
      <x:c r="D717" s="12" t="n">
        <x:f>C717/'客户小时分布'!$C$8</x:f>
        <x:v>0</x:v>
      </x:c>
      <x:c r="E717" s="12" t="n">
        <x:f>C717/'客户小时分布'!$C$10</x:f>
        <x:v>0</x:v>
      </x:c>
      <x:c r="F717" s="8" t="n">
        <x:f>B717*C717</x:f>
        <x:v>0</x:v>
      </x:c>
      <x:c r="G717" s="12" t="n">
        <x:f>F717/'客户小时分布'!$C$6</x:f>
        <x:v>0</x:v>
      </x:c>
      <x:c r="H717" s="12" t="n">
        <x:f>SUM($C$8:C717)/'客户小时分布'!$C$8</x:f>
        <x:v>0.999998535742525</x:v>
      </x:c>
    </x:row>
    <x:row r="718" ht="22" customHeight="1">
      <x:c r="A718" s="2"/>
      <x:c r="B718" s="8" t="n">
        <x:v>711</x:v>
      </x:c>
      <x:c r="C718" s="8" t="n">
        <x:v>0</x:v>
      </x:c>
      <x:c r="D718" s="12" t="n">
        <x:f>C718/'客户小时分布'!$C$8</x:f>
        <x:v>0</x:v>
      </x:c>
      <x:c r="E718" s="12" t="n">
        <x:f>C718/'客户小时分布'!$C$10</x:f>
        <x:v>0</x:v>
      </x:c>
      <x:c r="F718" s="8" t="n">
        <x:f>B718*C718</x:f>
        <x:v>0</x:v>
      </x:c>
      <x:c r="G718" s="12" t="n">
        <x:f>F718/'客户小时分布'!$C$6</x:f>
        <x:v>0</x:v>
      </x:c>
      <x:c r="H718" s="12" t="n">
        <x:f>SUM($C$8:C718)/'客户小时分布'!$C$8</x:f>
        <x:v>0.999998535742525</x:v>
      </x:c>
    </x:row>
    <x:row r="719" ht="22" customHeight="1">
      <x:c r="A719" s="2"/>
      <x:c r="B719" s="8" t="n">
        <x:v>712</x:v>
      </x:c>
      <x:c r="C719" s="8" t="n">
        <x:v>0</x:v>
      </x:c>
      <x:c r="D719" s="12" t="n">
        <x:f>C719/'客户小时分布'!$C$8</x:f>
        <x:v>0</x:v>
      </x:c>
      <x:c r="E719" s="12" t="n">
        <x:f>C719/'客户小时分布'!$C$10</x:f>
        <x:v>0</x:v>
      </x:c>
      <x:c r="F719" s="8" t="n">
        <x:f>B719*C719</x:f>
        <x:v>0</x:v>
      </x:c>
      <x:c r="G719" s="12" t="n">
        <x:f>F719/'客户小时分布'!$C$6</x:f>
        <x:v>0</x:v>
      </x:c>
      <x:c r="H719" s="12" t="n">
        <x:f>SUM($C$8:C719)/'客户小时分布'!$C$8</x:f>
        <x:v>0.999998535742525</x:v>
      </x:c>
    </x:row>
    <x:row r="720" ht="22" customHeight="1">
      <x:c r="A720" s="2"/>
      <x:c r="B720" s="8" t="n">
        <x:v>713</x:v>
      </x:c>
      <x:c r="C720" s="8" t="n">
        <x:v>0</x:v>
      </x:c>
      <x:c r="D720" s="12" t="n">
        <x:f>C720/'客户小时分布'!$C$8</x:f>
        <x:v>0</x:v>
      </x:c>
      <x:c r="E720" s="12" t="n">
        <x:f>C720/'客户小时分布'!$C$10</x:f>
        <x:v>0</x:v>
      </x:c>
      <x:c r="F720" s="8" t="n">
        <x:f>B720*C720</x:f>
        <x:v>0</x:v>
      </x:c>
      <x:c r="G720" s="12" t="n">
        <x:f>F720/'客户小时分布'!$C$6</x:f>
        <x:v>0</x:v>
      </x:c>
      <x:c r="H720" s="12" t="n">
        <x:f>SUM($C$8:C720)/'客户小时分布'!$C$8</x:f>
        <x:v>0.999998535742525</x:v>
      </x:c>
    </x:row>
    <x:row r="721" ht="22" customHeight="1">
      <x:c r="A721" s="2"/>
      <x:c r="B721" s="8" t="n">
        <x:v>714</x:v>
      </x:c>
      <x:c r="C721" s="8" t="n">
        <x:v>0</x:v>
      </x:c>
      <x:c r="D721" s="12" t="n">
        <x:f>C721/'客户小时分布'!$C$8</x:f>
        <x:v>0</x:v>
      </x:c>
      <x:c r="E721" s="12" t="n">
        <x:f>C721/'客户小时分布'!$C$10</x:f>
        <x:v>0</x:v>
      </x:c>
      <x:c r="F721" s="8" t="n">
        <x:f>B721*C721</x:f>
        <x:v>0</x:v>
      </x:c>
      <x:c r="G721" s="12" t="n">
        <x:f>F721/'客户小时分布'!$C$6</x:f>
        <x:v>0</x:v>
      </x:c>
      <x:c r="H721" s="12" t="n">
        <x:f>SUM($C$8:C721)/'客户小时分布'!$C$8</x:f>
        <x:v>0.999998535742525</x:v>
      </x:c>
    </x:row>
    <x:row r="722" ht="22" customHeight="1">
      <x:c r="A722" s="2"/>
      <x:c r="B722" s="8" t="n">
        <x:v>715</x:v>
      </x:c>
      <x:c r="C722" s="8" t="n">
        <x:v>0</x:v>
      </x:c>
      <x:c r="D722" s="12" t="n">
        <x:f>C722/'客户小时分布'!$C$8</x:f>
        <x:v>0</x:v>
      </x:c>
      <x:c r="E722" s="12" t="n">
        <x:f>C722/'客户小时分布'!$C$10</x:f>
        <x:v>0</x:v>
      </x:c>
      <x:c r="F722" s="8" t="n">
        <x:f>B722*C722</x:f>
        <x:v>0</x:v>
      </x:c>
      <x:c r="G722" s="12" t="n">
        <x:f>F722/'客户小时分布'!$C$6</x:f>
        <x:v>0</x:v>
      </x:c>
      <x:c r="H722" s="12" t="n">
        <x:f>SUM($C$8:C722)/'客户小时分布'!$C$8</x:f>
        <x:v>0.999998535742525</x:v>
      </x:c>
    </x:row>
    <x:row r="723" ht="22" customHeight="1">
      <x:c r="A723" s="2"/>
      <x:c r="B723" s="8" t="n">
        <x:v>716</x:v>
      </x:c>
      <x:c r="C723" s="8" t="n">
        <x:v>0</x:v>
      </x:c>
      <x:c r="D723" s="12" t="n">
        <x:f>C723/'客户小时分布'!$C$8</x:f>
        <x:v>0</x:v>
      </x:c>
      <x:c r="E723" s="12" t="n">
        <x:f>C723/'客户小时分布'!$C$10</x:f>
        <x:v>0</x:v>
      </x:c>
      <x:c r="F723" s="8" t="n">
        <x:f>B723*C723</x:f>
        <x:v>0</x:v>
      </x:c>
      <x:c r="G723" s="12" t="n">
        <x:f>F723/'客户小时分布'!$C$6</x:f>
        <x:v>0</x:v>
      </x:c>
      <x:c r="H723" s="12" t="n">
        <x:f>SUM($C$8:C723)/'客户小时分布'!$C$8</x:f>
        <x:v>0.999998535742525</x:v>
      </x:c>
    </x:row>
    <x:row r="724" ht="22" customHeight="1">
      <x:c r="A724" s="2"/>
      <x:c r="B724" s="8" t="n">
        <x:v>717</x:v>
      </x:c>
      <x:c r="C724" s="8" t="n">
        <x:v>0</x:v>
      </x:c>
      <x:c r="D724" s="12" t="n">
        <x:f>C724/'客户小时分布'!$C$8</x:f>
        <x:v>0</x:v>
      </x:c>
      <x:c r="E724" s="12" t="n">
        <x:f>C724/'客户小时分布'!$C$10</x:f>
        <x:v>0</x:v>
      </x:c>
      <x:c r="F724" s="8" t="n">
        <x:f>B724*C724</x:f>
        <x:v>0</x:v>
      </x:c>
      <x:c r="G724" s="12" t="n">
        <x:f>F724/'客户小时分布'!$C$6</x:f>
        <x:v>0</x:v>
      </x:c>
      <x:c r="H724" s="12" t="n">
        <x:f>SUM($C$8:C724)/'客户小时分布'!$C$8</x:f>
        <x:v>0.999998535742525</x:v>
      </x:c>
    </x:row>
    <x:row r="725" ht="22" customHeight="1">
      <x:c r="A725" s="2"/>
      <x:c r="B725" s="8" t="n">
        <x:v>718</x:v>
      </x:c>
      <x:c r="C725" s="8" t="n">
        <x:v>0</x:v>
      </x:c>
      <x:c r="D725" s="12" t="n">
        <x:f>C725/'客户小时分布'!$C$8</x:f>
        <x:v>0</x:v>
      </x:c>
      <x:c r="E725" s="12" t="n">
        <x:f>C725/'客户小时分布'!$C$10</x:f>
        <x:v>0</x:v>
      </x:c>
      <x:c r="F725" s="8" t="n">
        <x:f>B725*C725</x:f>
        <x:v>0</x:v>
      </x:c>
      <x:c r="G725" s="12" t="n">
        <x:f>F725/'客户小时分布'!$C$6</x:f>
        <x:v>0</x:v>
      </x:c>
      <x:c r="H725" s="12" t="n">
        <x:f>SUM($C$8:C725)/'客户小时分布'!$C$8</x:f>
        <x:v>0.999998535742525</x:v>
      </x:c>
    </x:row>
    <x:row r="726" ht="22" customHeight="1">
      <x:c r="A726" s="2"/>
      <x:c r="B726" s="8" t="n">
        <x:v>719</x:v>
      </x:c>
      <x:c r="C726" s="8" t="n">
        <x:v>0</x:v>
      </x:c>
      <x:c r="D726" s="12" t="n">
        <x:f>C726/'客户小时分布'!$C$8</x:f>
        <x:v>0</x:v>
      </x:c>
      <x:c r="E726" s="12" t="n">
        <x:f>C726/'客户小时分布'!$C$10</x:f>
        <x:v>0</x:v>
      </x:c>
      <x:c r="F726" s="8" t="n">
        <x:f>B726*C726</x:f>
        <x:v>0</x:v>
      </x:c>
      <x:c r="G726" s="12" t="n">
        <x:f>F726/'客户小时分布'!$C$6</x:f>
        <x:v>0</x:v>
      </x:c>
      <x:c r="H726" s="12" t="n">
        <x:f>SUM($C$8:C726)/'客户小时分布'!$C$8</x:f>
        <x:v>0.999998535742525</x:v>
      </x:c>
    </x:row>
    <x:row r="727" ht="22" customHeight="1">
      <x:c r="A727" s="2"/>
      <x:c r="B727" s="8" t="n">
        <x:v>720</x:v>
      </x:c>
      <x:c r="C727" s="8" t="n">
        <x:v>0</x:v>
      </x:c>
      <x:c r="D727" s="12" t="n">
        <x:f>C727/'客户小时分布'!$C$8</x:f>
        <x:v>0</x:v>
      </x:c>
      <x:c r="E727" s="12" t="n">
        <x:f>C727/'客户小时分布'!$C$10</x:f>
        <x:v>0</x:v>
      </x:c>
      <x:c r="F727" s="8" t="n">
        <x:f>B727*C727</x:f>
        <x:v>0</x:v>
      </x:c>
      <x:c r="G727" s="12" t="n">
        <x:f>F727/'客户小时分布'!$C$6</x:f>
        <x:v>0</x:v>
      </x:c>
      <x:c r="H727" s="12" t="n">
        <x:f>SUM($C$8:C727)/'客户小时分布'!$C$8</x:f>
        <x:v>0.999998535742525</x:v>
      </x:c>
    </x:row>
    <x:row r="728" ht="22" customHeight="1">
      <x:c r="A728" s="2"/>
      <x:c r="B728" s="8" t="n">
        <x:v>721</x:v>
      </x:c>
      <x:c r="C728" s="8" t="n">
        <x:v>0</x:v>
      </x:c>
      <x:c r="D728" s="12" t="n">
        <x:f>C728/'客户小时分布'!$C$8</x:f>
        <x:v>0</x:v>
      </x:c>
      <x:c r="E728" s="12" t="n">
        <x:f>C728/'客户小时分布'!$C$10</x:f>
        <x:v>0</x:v>
      </x:c>
      <x:c r="F728" s="8" t="n">
        <x:f>B728*C728</x:f>
        <x:v>0</x:v>
      </x:c>
      <x:c r="G728" s="12" t="n">
        <x:f>F728/'客户小时分布'!$C$6</x:f>
        <x:v>0</x:v>
      </x:c>
      <x:c r="H728" s="12" t="n">
        <x:f>SUM($C$8:C728)/'客户小时分布'!$C$8</x:f>
        <x:v>0.999998535742525</x:v>
      </x:c>
    </x:row>
    <x:row r="729" ht="22" customHeight="1">
      <x:c r="A729" s="2"/>
      <x:c r="B729" s="8" t="n">
        <x:v>722</x:v>
      </x:c>
      <x:c r="C729" s="8" t="n">
        <x:v>0</x:v>
      </x:c>
      <x:c r="D729" s="12" t="n">
        <x:f>C729/'客户小时分布'!$C$8</x:f>
        <x:v>0</x:v>
      </x:c>
      <x:c r="E729" s="12" t="n">
        <x:f>C729/'客户小时分布'!$C$10</x:f>
        <x:v>0</x:v>
      </x:c>
      <x:c r="F729" s="8" t="n">
        <x:f>B729*C729</x:f>
        <x:v>0</x:v>
      </x:c>
      <x:c r="G729" s="12" t="n">
        <x:f>F729/'客户小时分布'!$C$6</x:f>
        <x:v>0</x:v>
      </x:c>
      <x:c r="H729" s="12" t="n">
        <x:f>SUM($C$8:C729)/'客户小时分布'!$C$8</x:f>
        <x:v>0.999998535742525</x:v>
      </x:c>
    </x:row>
    <x:row r="730" ht="22" customHeight="1">
      <x:c r="A730" s="2"/>
      <x:c r="B730" s="8" t="n">
        <x:v>723</x:v>
      </x:c>
      <x:c r="C730" s="8" t="n">
        <x:v>0</x:v>
      </x:c>
      <x:c r="D730" s="12" t="n">
        <x:f>C730/'客户小时分布'!$C$8</x:f>
        <x:v>0</x:v>
      </x:c>
      <x:c r="E730" s="12" t="n">
        <x:f>C730/'客户小时分布'!$C$10</x:f>
        <x:v>0</x:v>
      </x:c>
      <x:c r="F730" s="8" t="n">
        <x:f>B730*C730</x:f>
        <x:v>0</x:v>
      </x:c>
      <x:c r="G730" s="12" t="n">
        <x:f>F730/'客户小时分布'!$C$6</x:f>
        <x:v>0</x:v>
      </x:c>
      <x:c r="H730" s="12" t="n">
        <x:f>SUM($C$8:C730)/'客户小时分布'!$C$8</x:f>
        <x:v>0.999998535742525</x:v>
      </x:c>
    </x:row>
    <x:row r="731" ht="22" customHeight="1">
      <x:c r="A731" s="2"/>
      <x:c r="B731" s="8" t="n">
        <x:v>724</x:v>
      </x:c>
      <x:c r="C731" s="8" t="n">
        <x:v>0</x:v>
      </x:c>
      <x:c r="D731" s="12" t="n">
        <x:f>C731/'客户小时分布'!$C$8</x:f>
        <x:v>0</x:v>
      </x:c>
      <x:c r="E731" s="12" t="n">
        <x:f>C731/'客户小时分布'!$C$10</x:f>
        <x:v>0</x:v>
      </x:c>
      <x:c r="F731" s="8" t="n">
        <x:f>B731*C731</x:f>
        <x:v>0</x:v>
      </x:c>
      <x:c r="G731" s="12" t="n">
        <x:f>F731/'客户小时分布'!$C$6</x:f>
        <x:v>0</x:v>
      </x:c>
      <x:c r="H731" s="12" t="n">
        <x:f>SUM($C$8:C731)/'客户小时分布'!$C$8</x:f>
        <x:v>0.999998535742525</x:v>
      </x:c>
    </x:row>
    <x:row r="732" ht="22" customHeight="1">
      <x:c r="A732" s="2"/>
      <x:c r="B732" s="8" t="n">
        <x:v>725</x:v>
      </x:c>
      <x:c r="C732" s="8" t="n">
        <x:v>0</x:v>
      </x:c>
      <x:c r="D732" s="12" t="n">
        <x:f>C732/'客户小时分布'!$C$8</x:f>
        <x:v>0</x:v>
      </x:c>
      <x:c r="E732" s="12" t="n">
        <x:f>C732/'客户小时分布'!$C$10</x:f>
        <x:v>0</x:v>
      </x:c>
      <x:c r="F732" s="8" t="n">
        <x:f>B732*C732</x:f>
        <x:v>0</x:v>
      </x:c>
      <x:c r="G732" s="12" t="n">
        <x:f>F732/'客户小时分布'!$C$6</x:f>
        <x:v>0</x:v>
      </x:c>
      <x:c r="H732" s="12" t="n">
        <x:f>SUM($C$8:C732)/'客户小时分布'!$C$8</x:f>
        <x:v>0.999998535742525</x:v>
      </x:c>
    </x:row>
    <x:row r="733" ht="22" customHeight="1">
      <x:c r="A733" s="2"/>
      <x:c r="B733" s="8" t="n">
        <x:v>726</x:v>
      </x:c>
      <x:c r="C733" s="8" t="n">
        <x:v>0</x:v>
      </x:c>
      <x:c r="D733" s="12" t="n">
        <x:f>C733/'客户小时分布'!$C$8</x:f>
        <x:v>0</x:v>
      </x:c>
      <x:c r="E733" s="12" t="n">
        <x:f>C733/'客户小时分布'!$C$10</x:f>
        <x:v>0</x:v>
      </x:c>
      <x:c r="F733" s="8" t="n">
        <x:f>B733*C733</x:f>
        <x:v>0</x:v>
      </x:c>
      <x:c r="G733" s="12" t="n">
        <x:f>F733/'客户小时分布'!$C$6</x:f>
        <x:v>0</x:v>
      </x:c>
      <x:c r="H733" s="12" t="n">
        <x:f>SUM($C$8:C733)/'客户小时分布'!$C$8</x:f>
        <x:v>0.999998535742525</x:v>
      </x:c>
    </x:row>
    <x:row r="734" ht="22" customHeight="1">
      <x:c r="A734" s="2"/>
      <x:c r="B734" s="8" t="n">
        <x:v>727</x:v>
      </x:c>
      <x:c r="C734" s="8" t="n">
        <x:v>0</x:v>
      </x:c>
      <x:c r="D734" s="12" t="n">
        <x:f>C734/'客户小时分布'!$C$8</x:f>
        <x:v>0</x:v>
      </x:c>
      <x:c r="E734" s="12" t="n">
        <x:f>C734/'客户小时分布'!$C$10</x:f>
        <x:v>0</x:v>
      </x:c>
      <x:c r="F734" s="8" t="n">
        <x:f>B734*C734</x:f>
        <x:v>0</x:v>
      </x:c>
      <x:c r="G734" s="12" t="n">
        <x:f>F734/'客户小时分布'!$C$6</x:f>
        <x:v>0</x:v>
      </x:c>
      <x:c r="H734" s="12" t="n">
        <x:f>SUM($C$8:C734)/'客户小时分布'!$C$8</x:f>
        <x:v>0.999998535742525</x:v>
      </x:c>
    </x:row>
    <x:row r="735" ht="22" customHeight="1">
      <x:c r="A735" s="2"/>
      <x:c r="B735" s="8" t="n">
        <x:v>728</x:v>
      </x:c>
      <x:c r="C735" s="8" t="n">
        <x:v>0</x:v>
      </x:c>
      <x:c r="D735" s="12" t="n">
        <x:f>C735/'客户小时分布'!$C$8</x:f>
        <x:v>0</x:v>
      </x:c>
      <x:c r="E735" s="12" t="n">
        <x:f>C735/'客户小时分布'!$C$10</x:f>
        <x:v>0</x:v>
      </x:c>
      <x:c r="F735" s="8" t="n">
        <x:f>B735*C735</x:f>
        <x:v>0</x:v>
      </x:c>
      <x:c r="G735" s="12" t="n">
        <x:f>F735/'客户小时分布'!$C$6</x:f>
        <x:v>0</x:v>
      </x:c>
      <x:c r="H735" s="12" t="n">
        <x:f>SUM($C$8:C735)/'客户小时分布'!$C$8</x:f>
        <x:v>0.999998535742525</x:v>
      </x:c>
    </x:row>
    <x:row r="736" ht="22" customHeight="1">
      <x:c r="A736" s="2"/>
      <x:c r="B736" s="8" t="n">
        <x:v>729</x:v>
      </x:c>
      <x:c r="C736" s="8" t="n">
        <x:v>0</x:v>
      </x:c>
      <x:c r="D736" s="12" t="n">
        <x:f>C736/'客户小时分布'!$C$8</x:f>
        <x:v>0</x:v>
      </x:c>
      <x:c r="E736" s="12" t="n">
        <x:f>C736/'客户小时分布'!$C$10</x:f>
        <x:v>0</x:v>
      </x:c>
      <x:c r="F736" s="8" t="n">
        <x:f>B736*C736</x:f>
        <x:v>0</x:v>
      </x:c>
      <x:c r="G736" s="12" t="n">
        <x:f>F736/'客户小时分布'!$C$6</x:f>
        <x:v>0</x:v>
      </x:c>
      <x:c r="H736" s="12" t="n">
        <x:f>SUM($C$8:C736)/'客户小时分布'!$C$8</x:f>
        <x:v>0.999998535742525</x:v>
      </x:c>
    </x:row>
    <x:row r="737" ht="22" customHeight="1">
      <x:c r="A737" s="2"/>
      <x:c r="B737" s="8" t="n">
        <x:v>730</x:v>
      </x:c>
      <x:c r="C737" s="8" t="n">
        <x:v>0</x:v>
      </x:c>
      <x:c r="D737" s="12" t="n">
        <x:f>C737/'客户小时分布'!$C$8</x:f>
        <x:v>0</x:v>
      </x:c>
      <x:c r="E737" s="12" t="n">
        <x:f>C737/'客户小时分布'!$C$10</x:f>
        <x:v>0</x:v>
      </x:c>
      <x:c r="F737" s="8" t="n">
        <x:f>B737*C737</x:f>
        <x:v>0</x:v>
      </x:c>
      <x:c r="G737" s="12" t="n">
        <x:f>F737/'客户小时分布'!$C$6</x:f>
        <x:v>0</x:v>
      </x:c>
      <x:c r="H737" s="12" t="n">
        <x:f>SUM($C$8:C737)/'客户小时分布'!$C$8</x:f>
        <x:v>0.999998535742525</x:v>
      </x:c>
    </x:row>
    <x:row r="738" ht="22" customHeight="1">
      <x:c r="A738" s="2"/>
      <x:c r="B738" s="8" t="n">
        <x:v>731</x:v>
      </x:c>
      <x:c r="C738" s="8" t="n">
        <x:v>0</x:v>
      </x:c>
      <x:c r="D738" s="12" t="n">
        <x:f>C738/'客户小时分布'!$C$8</x:f>
        <x:v>0</x:v>
      </x:c>
      <x:c r="E738" s="12" t="n">
        <x:f>C738/'客户小时分布'!$C$10</x:f>
        <x:v>0</x:v>
      </x:c>
      <x:c r="F738" s="8" t="n">
        <x:f>B738*C738</x:f>
        <x:v>0</x:v>
      </x:c>
      <x:c r="G738" s="12" t="n">
        <x:f>F738/'客户小时分布'!$C$6</x:f>
        <x:v>0</x:v>
      </x:c>
      <x:c r="H738" s="12" t="n">
        <x:f>SUM($C$8:C738)/'客户小时分布'!$C$8</x:f>
        <x:v>0.999998535742525</x:v>
      </x:c>
    </x:row>
    <x:row r="739" ht="22" customHeight="1">
      <x:c r="A739" s="2"/>
      <x:c r="B739" s="8" t="n">
        <x:v>732</x:v>
      </x:c>
      <x:c r="C739" s="8" t="n">
        <x:v>0</x:v>
      </x:c>
      <x:c r="D739" s="12" t="n">
        <x:f>C739/'客户小时分布'!$C$8</x:f>
        <x:v>0</x:v>
      </x:c>
      <x:c r="E739" s="12" t="n">
        <x:f>C739/'客户小时分布'!$C$10</x:f>
        <x:v>0</x:v>
      </x:c>
      <x:c r="F739" s="8" t="n">
        <x:f>B739*C739</x:f>
        <x:v>0</x:v>
      </x:c>
      <x:c r="G739" s="12" t="n">
        <x:f>F739/'客户小时分布'!$C$6</x:f>
        <x:v>0</x:v>
      </x:c>
      <x:c r="H739" s="12" t="n">
        <x:f>SUM($C$8:C739)/'客户小时分布'!$C$8</x:f>
        <x:v>0.999998535742525</x:v>
      </x:c>
    </x:row>
    <x:row r="740" ht="22" customHeight="1">
      <x:c r="A740" s="2"/>
      <x:c r="B740" s="8" t="n">
        <x:v>733</x:v>
      </x:c>
      <x:c r="C740" s="8" t="n">
        <x:v>0</x:v>
      </x:c>
      <x:c r="D740" s="12" t="n">
        <x:f>C740/'客户小时分布'!$C$8</x:f>
        <x:v>0</x:v>
      </x:c>
      <x:c r="E740" s="12" t="n">
        <x:f>C740/'客户小时分布'!$C$10</x:f>
        <x:v>0</x:v>
      </x:c>
      <x:c r="F740" s="8" t="n">
        <x:f>B740*C740</x:f>
        <x:v>0</x:v>
      </x:c>
      <x:c r="G740" s="12" t="n">
        <x:f>F740/'客户小时分布'!$C$6</x:f>
        <x:v>0</x:v>
      </x:c>
      <x:c r="H740" s="12" t="n">
        <x:f>SUM($C$8:C740)/'客户小时分布'!$C$8</x:f>
        <x:v>0.999998535742525</x:v>
      </x:c>
    </x:row>
    <x:row r="741" ht="22" customHeight="1">
      <x:c r="A741" s="2"/>
      <x:c r="B741" s="8" t="n">
        <x:v>734</x:v>
      </x:c>
      <x:c r="C741" s="8" t="n">
        <x:v>0</x:v>
      </x:c>
      <x:c r="D741" s="12" t="n">
        <x:f>C741/'客户小时分布'!$C$8</x:f>
        <x:v>0</x:v>
      </x:c>
      <x:c r="E741" s="12" t="n">
        <x:f>C741/'客户小时分布'!$C$10</x:f>
        <x:v>0</x:v>
      </x:c>
      <x:c r="F741" s="8" t="n">
        <x:f>B741*C741</x:f>
        <x:v>0</x:v>
      </x:c>
      <x:c r="G741" s="12" t="n">
        <x:f>F741/'客户小时分布'!$C$6</x:f>
        <x:v>0</x:v>
      </x:c>
      <x:c r="H741" s="12" t="n">
        <x:f>SUM($C$8:C741)/'客户小时分布'!$C$8</x:f>
        <x:v>0.999998535742525</x:v>
      </x:c>
    </x:row>
    <x:row r="742" ht="22" customHeight="1">
      <x:c r="A742" s="2"/>
      <x:c r="B742" s="8" t="n">
        <x:v>735</x:v>
      </x:c>
      <x:c r="C742" s="8" t="n">
        <x:v>0</x:v>
      </x:c>
      <x:c r="D742" s="12" t="n">
        <x:f>C742/'客户小时分布'!$C$8</x:f>
        <x:v>0</x:v>
      </x:c>
      <x:c r="E742" s="12" t="n">
        <x:f>C742/'客户小时分布'!$C$10</x:f>
        <x:v>0</x:v>
      </x:c>
      <x:c r="F742" s="8" t="n">
        <x:f>B742*C742</x:f>
        <x:v>0</x:v>
      </x:c>
      <x:c r="G742" s="12" t="n">
        <x:f>F742/'客户小时分布'!$C$6</x:f>
        <x:v>0</x:v>
      </x:c>
      <x:c r="H742" s="12" t="n">
        <x:f>SUM($C$8:C742)/'客户小时分布'!$C$8</x:f>
        <x:v>0.999998535742525</x:v>
      </x:c>
    </x:row>
    <x:row r="743" ht="22" customHeight="1">
      <x:c r="A743" s="2"/>
      <x:c r="B743" s="8" t="n">
        <x:v>736</x:v>
      </x:c>
      <x:c r="C743" s="8" t="n">
        <x:v>0</x:v>
      </x:c>
      <x:c r="D743" s="12" t="n">
        <x:f>C743/'客户小时分布'!$C$8</x:f>
        <x:v>0</x:v>
      </x:c>
      <x:c r="E743" s="12" t="n">
        <x:f>C743/'客户小时分布'!$C$10</x:f>
        <x:v>0</x:v>
      </x:c>
      <x:c r="F743" s="8" t="n">
        <x:f>B743*C743</x:f>
        <x:v>0</x:v>
      </x:c>
      <x:c r="G743" s="12" t="n">
        <x:f>F743/'客户小时分布'!$C$6</x:f>
        <x:v>0</x:v>
      </x:c>
      <x:c r="H743" s="12" t="n">
        <x:f>SUM($C$8:C743)/'客户小时分布'!$C$8</x:f>
        <x:v>0.999998535742525</x:v>
      </x:c>
    </x:row>
    <x:row r="744" ht="22" customHeight="1">
      <x:c r="A744" s="2"/>
      <x:c r="B744" s="8" t="n">
        <x:v>737</x:v>
      </x:c>
      <x:c r="C744" s="8" t="n">
        <x:v>0</x:v>
      </x:c>
      <x:c r="D744" s="12" t="n">
        <x:f>C744/'客户小时分布'!$C$8</x:f>
        <x:v>0</x:v>
      </x:c>
      <x:c r="E744" s="12" t="n">
        <x:f>C744/'客户小时分布'!$C$10</x:f>
        <x:v>0</x:v>
      </x:c>
      <x:c r="F744" s="8" t="n">
        <x:f>B744*C744</x:f>
        <x:v>0</x:v>
      </x:c>
      <x:c r="G744" s="12" t="n">
        <x:f>F744/'客户小时分布'!$C$6</x:f>
        <x:v>0</x:v>
      </x:c>
      <x:c r="H744" s="12" t="n">
        <x:f>SUM($C$8:C744)/'客户小时分布'!$C$8</x:f>
        <x:v>0.999998535742525</x:v>
      </x:c>
    </x:row>
    <x:row r="745" ht="22" customHeight="1">
      <x:c r="A745" s="2"/>
      <x:c r="B745" s="8" t="n">
        <x:v>738</x:v>
      </x:c>
      <x:c r="C745" s="8" t="n">
        <x:v>0</x:v>
      </x:c>
      <x:c r="D745" s="12" t="n">
        <x:f>C745/'客户小时分布'!$C$8</x:f>
        <x:v>0</x:v>
      </x:c>
      <x:c r="E745" s="12" t="n">
        <x:f>C745/'客户小时分布'!$C$10</x:f>
        <x:v>0</x:v>
      </x:c>
      <x:c r="F745" s="8" t="n">
        <x:f>B745*C745</x:f>
        <x:v>0</x:v>
      </x:c>
      <x:c r="G745" s="12" t="n">
        <x:f>F745/'客户小时分布'!$C$6</x:f>
        <x:v>0</x:v>
      </x:c>
      <x:c r="H745" s="12" t="n">
        <x:f>SUM($C$8:C745)/'客户小时分布'!$C$8</x:f>
        <x:v>0.999998535742525</x:v>
      </x:c>
    </x:row>
    <x:row r="746" ht="22" customHeight="1">
      <x:c r="A746" s="2"/>
      <x:c r="B746" s="8" t="n">
        <x:v>739</x:v>
      </x:c>
      <x:c r="C746" s="8" t="n">
        <x:v>0</x:v>
      </x:c>
      <x:c r="D746" s="12" t="n">
        <x:f>C746/'客户小时分布'!$C$8</x:f>
        <x:v>0</x:v>
      </x:c>
      <x:c r="E746" s="12" t="n">
        <x:f>C746/'客户小时分布'!$C$10</x:f>
        <x:v>0</x:v>
      </x:c>
      <x:c r="F746" s="8" t="n">
        <x:f>B746*C746</x:f>
        <x:v>0</x:v>
      </x:c>
      <x:c r="G746" s="12" t="n">
        <x:f>F746/'客户小时分布'!$C$6</x:f>
        <x:v>0</x:v>
      </x:c>
      <x:c r="H746" s="12" t="n">
        <x:f>SUM($C$8:C746)/'客户小时分布'!$C$8</x:f>
        <x:v>0.999998535742525</x:v>
      </x:c>
    </x:row>
    <x:row r="747" ht="22" customHeight="1">
      <x:c r="A747" s="2"/>
      <x:c r="B747" s="8" t="n">
        <x:v>740</x:v>
      </x:c>
      <x:c r="C747" s="8" t="n">
        <x:v>0</x:v>
      </x:c>
      <x:c r="D747" s="12" t="n">
        <x:f>C747/'客户小时分布'!$C$8</x:f>
        <x:v>0</x:v>
      </x:c>
      <x:c r="E747" s="12" t="n">
        <x:f>C747/'客户小时分布'!$C$10</x:f>
        <x:v>0</x:v>
      </x:c>
      <x:c r="F747" s="8" t="n">
        <x:f>B747*C747</x:f>
        <x:v>0</x:v>
      </x:c>
      <x:c r="G747" s="12" t="n">
        <x:f>F747/'客户小时分布'!$C$6</x:f>
        <x:v>0</x:v>
      </x:c>
      <x:c r="H747" s="12" t="n">
        <x:f>SUM($C$8:C747)/'客户小时分布'!$C$8</x:f>
        <x:v>0.999998535742525</x:v>
      </x:c>
    </x:row>
    <x:row r="748" ht="22" customHeight="1">
      <x:c r="A748" s="2"/>
      <x:c r="B748" s="8" t="n">
        <x:v>741</x:v>
      </x:c>
      <x:c r="C748" s="8" t="n">
        <x:v>0</x:v>
      </x:c>
      <x:c r="D748" s="12" t="n">
        <x:f>C748/'客户小时分布'!$C$8</x:f>
        <x:v>0</x:v>
      </x:c>
      <x:c r="E748" s="12" t="n">
        <x:f>C748/'客户小时分布'!$C$10</x:f>
        <x:v>0</x:v>
      </x:c>
      <x:c r="F748" s="8" t="n">
        <x:f>B748*C748</x:f>
        <x:v>0</x:v>
      </x:c>
      <x:c r="G748" s="12" t="n">
        <x:f>F748/'客户小时分布'!$C$6</x:f>
        <x:v>0</x:v>
      </x:c>
      <x:c r="H748" s="12" t="n">
        <x:f>SUM($C$8:C748)/'客户小时分布'!$C$8</x:f>
        <x:v>0.999998535742525</x:v>
      </x:c>
    </x:row>
    <x:row r="749" ht="22" customHeight="1">
      <x:c r="A749" s="2"/>
      <x:c r="B749" s="8" t="n">
        <x:v>742</x:v>
      </x:c>
      <x:c r="C749" s="8" t="n">
        <x:v>0</x:v>
      </x:c>
      <x:c r="D749" s="12" t="n">
        <x:f>C749/'客户小时分布'!$C$8</x:f>
        <x:v>0</x:v>
      </x:c>
      <x:c r="E749" s="12" t="n">
        <x:f>C749/'客户小时分布'!$C$10</x:f>
        <x:v>0</x:v>
      </x:c>
      <x:c r="F749" s="8" t="n">
        <x:f>B749*C749</x:f>
        <x:v>0</x:v>
      </x:c>
      <x:c r="G749" s="12" t="n">
        <x:f>F749/'客户小时分布'!$C$6</x:f>
        <x:v>0</x:v>
      </x:c>
      <x:c r="H749" s="12" t="n">
        <x:f>SUM($C$8:C749)/'客户小时分布'!$C$8</x:f>
        <x:v>0.999998535742525</x:v>
      </x:c>
    </x:row>
    <x:row r="750" ht="22" customHeight="1">
      <x:c r="A750" s="2"/>
      <x:c r="B750" s="8" t="n">
        <x:v>743</x:v>
      </x:c>
      <x:c r="C750" s="8" t="n">
        <x:v>0</x:v>
      </x:c>
      <x:c r="D750" s="12" t="n">
        <x:f>C750/'客户小时分布'!$C$8</x:f>
        <x:v>0</x:v>
      </x:c>
      <x:c r="E750" s="12" t="n">
        <x:f>C750/'客户小时分布'!$C$10</x:f>
        <x:v>0</x:v>
      </x:c>
      <x:c r="F750" s="8" t="n">
        <x:f>B750*C750</x:f>
        <x:v>0</x:v>
      </x:c>
      <x:c r="G750" s="12" t="n">
        <x:f>F750/'客户小时分布'!$C$6</x:f>
        <x:v>0</x:v>
      </x:c>
      <x:c r="H750" s="12" t="n">
        <x:f>SUM($C$8:C750)/'客户小时分布'!$C$8</x:f>
        <x:v>0.999998535742525</x:v>
      </x:c>
    </x:row>
    <x:row r="751" ht="22" customHeight="1">
      <x:c r="A751" s="2"/>
      <x:c r="B751" s="8" t="n">
        <x:v>744</x:v>
      </x:c>
      <x:c r="C751" s="8" t="n">
        <x:v>0</x:v>
      </x:c>
      <x:c r="D751" s="12" t="n">
        <x:f>C751/'客户小时分布'!$C$8</x:f>
        <x:v>0</x:v>
      </x:c>
      <x:c r="E751" s="12" t="n">
        <x:f>C751/'客户小时分布'!$C$10</x:f>
        <x:v>0</x:v>
      </x:c>
      <x:c r="F751" s="8" t="n">
        <x:f>B751*C751</x:f>
        <x:v>0</x:v>
      </x:c>
      <x:c r="G751" s="12" t="n">
        <x:f>F751/'客户小时分布'!$C$6</x:f>
        <x:v>0</x:v>
      </x:c>
      <x:c r="H751" s="12" t="n">
        <x:f>SUM($C$8:C751)/'客户小时分布'!$C$8</x:f>
        <x:v>0.999998535742525</x:v>
      </x:c>
    </x:row>
    <x:row r="752" ht="22" customHeight="1">
      <x:c r="A752" s="2"/>
      <x:c r="B752" s="8" t="n">
        <x:v>745</x:v>
      </x:c>
      <x:c r="C752" s="8" t="n">
        <x:v>0</x:v>
      </x:c>
      <x:c r="D752" s="12" t="n">
        <x:f>C752/'客户小时分布'!$C$8</x:f>
        <x:v>0</x:v>
      </x:c>
      <x:c r="E752" s="12" t="n">
        <x:f>C752/'客户小时分布'!$C$10</x:f>
        <x:v>0</x:v>
      </x:c>
      <x:c r="F752" s="8" t="n">
        <x:f>B752*C752</x:f>
        <x:v>0</x:v>
      </x:c>
      <x:c r="G752" s="12" t="n">
        <x:f>F752/'客户小时分布'!$C$6</x:f>
        <x:v>0</x:v>
      </x:c>
      <x:c r="H752" s="12" t="n">
        <x:f>SUM($C$8:C752)/'客户小时分布'!$C$8</x:f>
        <x:v>0.999998535742525</x:v>
      </x:c>
    </x:row>
    <x:row r="753" ht="22" customHeight="1">
      <x:c r="A753" s="2"/>
      <x:c r="B753" s="8" t="n">
        <x:v>746</x:v>
      </x:c>
      <x:c r="C753" s="8" t="n">
        <x:v>0</x:v>
      </x:c>
      <x:c r="D753" s="12" t="n">
        <x:f>C753/'客户小时分布'!$C$8</x:f>
        <x:v>0</x:v>
      </x:c>
      <x:c r="E753" s="12" t="n">
        <x:f>C753/'客户小时分布'!$C$10</x:f>
        <x:v>0</x:v>
      </x:c>
      <x:c r="F753" s="8" t="n">
        <x:f>B753*C753</x:f>
        <x:v>0</x:v>
      </x:c>
      <x:c r="G753" s="12" t="n">
        <x:f>F753/'客户小时分布'!$C$6</x:f>
        <x:v>0</x:v>
      </x:c>
      <x:c r="H753" s="12" t="n">
        <x:f>SUM($C$8:C753)/'客户小时分布'!$C$8</x:f>
        <x:v>0.999998535742525</x:v>
      </x:c>
    </x:row>
    <x:row r="754" ht="22" customHeight="1">
      <x:c r="A754" s="2"/>
      <x:c r="B754" s="8" t="n">
        <x:v>747</x:v>
      </x:c>
      <x:c r="C754" s="8" t="n">
        <x:v>0</x:v>
      </x:c>
      <x:c r="D754" s="12" t="n">
        <x:f>C754/'客户小时分布'!$C$8</x:f>
        <x:v>0</x:v>
      </x:c>
      <x:c r="E754" s="12" t="n">
        <x:f>C754/'客户小时分布'!$C$10</x:f>
        <x:v>0</x:v>
      </x:c>
      <x:c r="F754" s="8" t="n">
        <x:f>B754*C754</x:f>
        <x:v>0</x:v>
      </x:c>
      <x:c r="G754" s="12" t="n">
        <x:f>F754/'客户小时分布'!$C$6</x:f>
        <x:v>0</x:v>
      </x:c>
      <x:c r="H754" s="12" t="n">
        <x:f>SUM($C$8:C754)/'客户小时分布'!$C$8</x:f>
        <x:v>0.999998535742525</x:v>
      </x:c>
    </x:row>
    <x:row r="755" ht="22" customHeight="1">
      <x:c r="A755" s="2"/>
      <x:c r="B755" s="8" t="n">
        <x:v>748</x:v>
      </x:c>
      <x:c r="C755" s="8" t="n">
        <x:v>0</x:v>
      </x:c>
      <x:c r="D755" s="12" t="n">
        <x:f>C755/'客户小时分布'!$C$8</x:f>
        <x:v>0</x:v>
      </x:c>
      <x:c r="E755" s="12" t="n">
        <x:f>C755/'客户小时分布'!$C$10</x:f>
        <x:v>0</x:v>
      </x:c>
      <x:c r="F755" s="8" t="n">
        <x:f>B755*C755</x:f>
        <x:v>0</x:v>
      </x:c>
      <x:c r="G755" s="12" t="n">
        <x:f>F755/'客户小时分布'!$C$6</x:f>
        <x:v>0</x:v>
      </x:c>
      <x:c r="H755" s="12" t="n">
        <x:f>SUM($C$8:C755)/'客户小时分布'!$C$8</x:f>
        <x:v>0.999998535742525</x:v>
      </x:c>
    </x:row>
    <x:row r="756" ht="22" customHeight="1">
      <x:c r="A756" s="2"/>
      <x:c r="B756" s="8" t="n">
        <x:v>749</x:v>
      </x:c>
      <x:c r="C756" s="8" t="n">
        <x:v>0</x:v>
      </x:c>
      <x:c r="D756" s="12" t="n">
        <x:f>C756/'客户小时分布'!$C$8</x:f>
        <x:v>0</x:v>
      </x:c>
      <x:c r="E756" s="12" t="n">
        <x:f>C756/'客户小时分布'!$C$10</x:f>
        <x:v>0</x:v>
      </x:c>
      <x:c r="F756" s="8" t="n">
        <x:f>B756*C756</x:f>
        <x:v>0</x:v>
      </x:c>
      <x:c r="G756" s="12" t="n">
        <x:f>F756/'客户小时分布'!$C$6</x:f>
        <x:v>0</x:v>
      </x:c>
      <x:c r="H756" s="12" t="n">
        <x:f>SUM($C$8:C756)/'客户小时分布'!$C$8</x:f>
        <x:v>0.999998535742525</x:v>
      </x:c>
    </x:row>
    <x:row r="757" ht="22" customHeight="1">
      <x:c r="A757" s="2"/>
      <x:c r="B757" s="8" t="n">
        <x:v>750</x:v>
      </x:c>
      <x:c r="C757" s="8" t="n">
        <x:v>0</x:v>
      </x:c>
      <x:c r="D757" s="12" t="n">
        <x:f>C757/'客户小时分布'!$C$8</x:f>
        <x:v>0</x:v>
      </x:c>
      <x:c r="E757" s="12" t="n">
        <x:f>C757/'客户小时分布'!$C$10</x:f>
        <x:v>0</x:v>
      </x:c>
      <x:c r="F757" s="8" t="n">
        <x:f>B757*C757</x:f>
        <x:v>0</x:v>
      </x:c>
      <x:c r="G757" s="12" t="n">
        <x:f>F757/'客户小时分布'!$C$6</x:f>
        <x:v>0</x:v>
      </x:c>
      <x:c r="H757" s="12" t="n">
        <x:f>SUM($C$8:C757)/'客户小时分布'!$C$8</x:f>
        <x:v>0.999998535742525</x:v>
      </x:c>
    </x:row>
    <x:row r="758" ht="22" customHeight="1">
      <x:c r="A758" s="2"/>
      <x:c r="B758" s="8" t="n">
        <x:v>751</x:v>
      </x:c>
      <x:c r="C758" s="8" t="n">
        <x:v>0</x:v>
      </x:c>
      <x:c r="D758" s="12" t="n">
        <x:f>C758/'客户小时分布'!$C$8</x:f>
        <x:v>0</x:v>
      </x:c>
      <x:c r="E758" s="12" t="n">
        <x:f>C758/'客户小时分布'!$C$10</x:f>
        <x:v>0</x:v>
      </x:c>
      <x:c r="F758" s="8" t="n">
        <x:f>B758*C758</x:f>
        <x:v>0</x:v>
      </x:c>
      <x:c r="G758" s="12" t="n">
        <x:f>F758/'客户小时分布'!$C$6</x:f>
        <x:v>0</x:v>
      </x:c>
      <x:c r="H758" s="12" t="n">
        <x:f>SUM($C$8:C758)/'客户小时分布'!$C$8</x:f>
        <x:v>0.999998535742525</x:v>
      </x:c>
    </x:row>
    <x:row r="759" ht="22" customHeight="1">
      <x:c r="A759" s="2"/>
      <x:c r="B759" s="8" t="n">
        <x:v>752</x:v>
      </x:c>
      <x:c r="C759" s="8" t="n">
        <x:v>0</x:v>
      </x:c>
      <x:c r="D759" s="12" t="n">
        <x:f>C759/'客户小时分布'!$C$8</x:f>
        <x:v>0</x:v>
      </x:c>
      <x:c r="E759" s="12" t="n">
        <x:f>C759/'客户小时分布'!$C$10</x:f>
        <x:v>0</x:v>
      </x:c>
      <x:c r="F759" s="8" t="n">
        <x:f>B759*C759</x:f>
        <x:v>0</x:v>
      </x:c>
      <x:c r="G759" s="12" t="n">
        <x:f>F759/'客户小时分布'!$C$6</x:f>
        <x:v>0</x:v>
      </x:c>
      <x:c r="H759" s="12" t="n">
        <x:f>SUM($C$8:C759)/'客户小时分布'!$C$8</x:f>
        <x:v>0.999998535742525</x:v>
      </x:c>
    </x:row>
    <x:row r="760" ht="22" customHeight="1">
      <x:c r="A760" s="2"/>
      <x:c r="B760" s="8" t="n">
        <x:v>753</x:v>
      </x:c>
      <x:c r="C760" s="8" t="n">
        <x:v>0</x:v>
      </x:c>
      <x:c r="D760" s="12" t="n">
        <x:f>C760/'客户小时分布'!$C$8</x:f>
        <x:v>0</x:v>
      </x:c>
      <x:c r="E760" s="12" t="n">
        <x:f>C760/'客户小时分布'!$C$10</x:f>
        <x:v>0</x:v>
      </x:c>
      <x:c r="F760" s="8" t="n">
        <x:f>B760*C760</x:f>
        <x:v>0</x:v>
      </x:c>
      <x:c r="G760" s="12" t="n">
        <x:f>F760/'客户小时分布'!$C$6</x:f>
        <x:v>0</x:v>
      </x:c>
      <x:c r="H760" s="12" t="n">
        <x:f>SUM($C$8:C760)/'客户小时分布'!$C$8</x:f>
        <x:v>0.999998535742525</x:v>
      </x:c>
    </x:row>
    <x:row r="761" ht="22" customHeight="1">
      <x:c r="A761" s="2"/>
      <x:c r="B761" s="8" t="n">
        <x:v>754</x:v>
      </x:c>
      <x:c r="C761" s="8" t="n">
        <x:v>0</x:v>
      </x:c>
      <x:c r="D761" s="12" t="n">
        <x:f>C761/'客户小时分布'!$C$8</x:f>
        <x:v>0</x:v>
      </x:c>
      <x:c r="E761" s="12" t="n">
        <x:f>C761/'客户小时分布'!$C$10</x:f>
        <x:v>0</x:v>
      </x:c>
      <x:c r="F761" s="8" t="n">
        <x:f>B761*C761</x:f>
        <x:v>0</x:v>
      </x:c>
      <x:c r="G761" s="12" t="n">
        <x:f>F761/'客户小时分布'!$C$6</x:f>
        <x:v>0</x:v>
      </x:c>
      <x:c r="H761" s="12" t="n">
        <x:f>SUM($C$8:C761)/'客户小时分布'!$C$8</x:f>
        <x:v>0.999998535742525</x:v>
      </x:c>
    </x:row>
    <x:row r="762" ht="22" customHeight="1">
      <x:c r="A762" s="2"/>
      <x:c r="B762" s="8" t="n">
        <x:v>755</x:v>
      </x:c>
      <x:c r="C762" s="8" t="n">
        <x:v>0</x:v>
      </x:c>
      <x:c r="D762" s="12" t="n">
        <x:f>C762/'客户小时分布'!$C$8</x:f>
        <x:v>0</x:v>
      </x:c>
      <x:c r="E762" s="12" t="n">
        <x:f>C762/'客户小时分布'!$C$10</x:f>
        <x:v>0</x:v>
      </x:c>
      <x:c r="F762" s="8" t="n">
        <x:f>B762*C762</x:f>
        <x:v>0</x:v>
      </x:c>
      <x:c r="G762" s="12" t="n">
        <x:f>F762/'客户小时分布'!$C$6</x:f>
        <x:v>0</x:v>
      </x:c>
      <x:c r="H762" s="12" t="n">
        <x:f>SUM($C$8:C762)/'客户小时分布'!$C$8</x:f>
        <x:v>0.999998535742525</x:v>
      </x:c>
    </x:row>
    <x:row r="763" ht="22" customHeight="1">
      <x:c r="A763" s="2"/>
      <x:c r="B763" s="8" t="n">
        <x:v>756</x:v>
      </x:c>
      <x:c r="C763" s="8" t="n">
        <x:v>0</x:v>
      </x:c>
      <x:c r="D763" s="12" t="n">
        <x:f>C763/'客户小时分布'!$C$8</x:f>
        <x:v>0</x:v>
      </x:c>
      <x:c r="E763" s="12" t="n">
        <x:f>C763/'客户小时分布'!$C$10</x:f>
        <x:v>0</x:v>
      </x:c>
      <x:c r="F763" s="8" t="n">
        <x:f>B763*C763</x:f>
        <x:v>0</x:v>
      </x:c>
      <x:c r="G763" s="12" t="n">
        <x:f>F763/'客户小时分布'!$C$6</x:f>
        <x:v>0</x:v>
      </x:c>
      <x:c r="H763" s="12" t="n">
        <x:f>SUM($C$8:C763)/'客户小时分布'!$C$8</x:f>
        <x:v>0.999998535742525</x:v>
      </x:c>
    </x:row>
    <x:row r="764" ht="22" customHeight="1">
      <x:c r="A764" s="2"/>
      <x:c r="B764" s="8" t="n">
        <x:v>757</x:v>
      </x:c>
      <x:c r="C764" s="8" t="n">
        <x:v>0</x:v>
      </x:c>
      <x:c r="D764" s="12" t="n">
        <x:f>C764/'客户小时分布'!$C$8</x:f>
        <x:v>0</x:v>
      </x:c>
      <x:c r="E764" s="12" t="n">
        <x:f>C764/'客户小时分布'!$C$10</x:f>
        <x:v>0</x:v>
      </x:c>
      <x:c r="F764" s="8" t="n">
        <x:f>B764*C764</x:f>
        <x:v>0</x:v>
      </x:c>
      <x:c r="G764" s="12" t="n">
        <x:f>F764/'客户小时分布'!$C$6</x:f>
        <x:v>0</x:v>
      </x:c>
      <x:c r="H764" s="12" t="n">
        <x:f>SUM($C$8:C764)/'客户小时分布'!$C$8</x:f>
        <x:v>0.999998535742525</x:v>
      </x:c>
    </x:row>
    <x:row r="765" ht="22" customHeight="1">
      <x:c r="A765" s="2"/>
      <x:c r="B765" s="8" t="n">
        <x:v>758</x:v>
      </x:c>
      <x:c r="C765" s="8" t="n">
        <x:v>0</x:v>
      </x:c>
      <x:c r="D765" s="12" t="n">
        <x:f>C765/'客户小时分布'!$C$8</x:f>
        <x:v>0</x:v>
      </x:c>
      <x:c r="E765" s="12" t="n">
        <x:f>C765/'客户小时分布'!$C$10</x:f>
        <x:v>0</x:v>
      </x:c>
      <x:c r="F765" s="8" t="n">
        <x:f>B765*C765</x:f>
        <x:v>0</x:v>
      </x:c>
      <x:c r="G765" s="12" t="n">
        <x:f>F765/'客户小时分布'!$C$6</x:f>
        <x:v>0</x:v>
      </x:c>
      <x:c r="H765" s="12" t="n">
        <x:f>SUM($C$8:C765)/'客户小时分布'!$C$8</x:f>
        <x:v>0.999998535742525</x:v>
      </x:c>
    </x:row>
    <x:row r="766" ht="22" customHeight="1">
      <x:c r="A766" s="2"/>
      <x:c r="B766" s="8" t="n">
        <x:v>759</x:v>
      </x:c>
      <x:c r="C766" s="8" t="n">
        <x:v>0</x:v>
      </x:c>
      <x:c r="D766" s="12" t="n">
        <x:f>C766/'客户小时分布'!$C$8</x:f>
        <x:v>0</x:v>
      </x:c>
      <x:c r="E766" s="12" t="n">
        <x:f>C766/'客户小时分布'!$C$10</x:f>
        <x:v>0</x:v>
      </x:c>
      <x:c r="F766" s="8" t="n">
        <x:f>B766*C766</x:f>
        <x:v>0</x:v>
      </x:c>
      <x:c r="G766" s="12" t="n">
        <x:f>F766/'客户小时分布'!$C$6</x:f>
        <x:v>0</x:v>
      </x:c>
      <x:c r="H766" s="12" t="n">
        <x:f>SUM($C$8:C766)/'客户小时分布'!$C$8</x:f>
        <x:v>0.999998535742525</x:v>
      </x:c>
    </x:row>
    <x:row r="767" ht="22" customHeight="1">
      <x:c r="A767" s="2"/>
      <x:c r="B767" s="8" t="n">
        <x:v>760</x:v>
      </x:c>
      <x:c r="C767" s="8" t="n">
        <x:v>0</x:v>
      </x:c>
      <x:c r="D767" s="12" t="n">
        <x:f>C767/'客户小时分布'!$C$8</x:f>
        <x:v>0</x:v>
      </x:c>
      <x:c r="E767" s="12" t="n">
        <x:f>C767/'客户小时分布'!$C$10</x:f>
        <x:v>0</x:v>
      </x:c>
      <x:c r="F767" s="8" t="n">
        <x:f>B767*C767</x:f>
        <x:v>0</x:v>
      </x:c>
      <x:c r="G767" s="12" t="n">
        <x:f>F767/'客户小时分布'!$C$6</x:f>
        <x:v>0</x:v>
      </x:c>
      <x:c r="H767" s="12" t="n">
        <x:f>SUM($C$8:C767)/'客户小时分布'!$C$8</x:f>
        <x:v>0.999998535742525</x:v>
      </x:c>
    </x:row>
    <x:row r="768" ht="22" customHeight="1">
      <x:c r="A768" s="2"/>
      <x:c r="B768" s="8" t="n">
        <x:v>761</x:v>
      </x:c>
      <x:c r="C768" s="8" t="n">
        <x:v>0</x:v>
      </x:c>
      <x:c r="D768" s="12" t="n">
        <x:f>C768/'客户小时分布'!$C$8</x:f>
        <x:v>0</x:v>
      </x:c>
      <x:c r="E768" s="12" t="n">
        <x:f>C768/'客户小时分布'!$C$10</x:f>
        <x:v>0</x:v>
      </x:c>
      <x:c r="F768" s="8" t="n">
        <x:f>B768*C768</x:f>
        <x:v>0</x:v>
      </x:c>
      <x:c r="G768" s="12" t="n">
        <x:f>F768/'客户小时分布'!$C$6</x:f>
        <x:v>0</x:v>
      </x:c>
      <x:c r="H768" s="12" t="n">
        <x:f>SUM($C$8:C768)/'客户小时分布'!$C$8</x:f>
        <x:v>0.999998535742525</x:v>
      </x:c>
    </x:row>
    <x:row r="769" ht="22" customHeight="1">
      <x:c r="A769" s="2"/>
      <x:c r="B769" s="8" t="n">
        <x:v>762</x:v>
      </x:c>
      <x:c r="C769" s="8" t="n">
        <x:v>0</x:v>
      </x:c>
      <x:c r="D769" s="12" t="n">
        <x:f>C769/'客户小时分布'!$C$8</x:f>
        <x:v>0</x:v>
      </x:c>
      <x:c r="E769" s="12" t="n">
        <x:f>C769/'客户小时分布'!$C$10</x:f>
        <x:v>0</x:v>
      </x:c>
      <x:c r="F769" s="8" t="n">
        <x:f>B769*C769</x:f>
        <x:v>0</x:v>
      </x:c>
      <x:c r="G769" s="12" t="n">
        <x:f>F769/'客户小时分布'!$C$6</x:f>
        <x:v>0</x:v>
      </x:c>
      <x:c r="H769" s="12" t="n">
        <x:f>SUM($C$8:C769)/'客户小时分布'!$C$8</x:f>
        <x:v>0.999998535742525</x:v>
      </x:c>
    </x:row>
    <x:row r="770" ht="22" customHeight="1">
      <x:c r="A770" s="2"/>
      <x:c r="B770" s="8" t="n">
        <x:v>763</x:v>
      </x:c>
      <x:c r="C770" s="8" t="n">
        <x:v>0</x:v>
      </x:c>
      <x:c r="D770" s="12" t="n">
        <x:f>C770/'客户小时分布'!$C$8</x:f>
        <x:v>0</x:v>
      </x:c>
      <x:c r="E770" s="12" t="n">
        <x:f>C770/'客户小时分布'!$C$10</x:f>
        <x:v>0</x:v>
      </x:c>
      <x:c r="F770" s="8" t="n">
        <x:f>B770*C770</x:f>
        <x:v>0</x:v>
      </x:c>
      <x:c r="G770" s="12" t="n">
        <x:f>F770/'客户小时分布'!$C$6</x:f>
        <x:v>0</x:v>
      </x:c>
      <x:c r="H770" s="12" t="n">
        <x:f>SUM($C$8:C770)/'客户小时分布'!$C$8</x:f>
        <x:v>0.999998535742525</x:v>
      </x:c>
    </x:row>
    <x:row r="771" ht="22" customHeight="1">
      <x:c r="A771" s="2"/>
      <x:c r="B771" s="8" t="n">
        <x:v>764</x:v>
      </x:c>
      <x:c r="C771" s="8" t="n">
        <x:v>0</x:v>
      </x:c>
      <x:c r="D771" s="12" t="n">
        <x:f>C771/'客户小时分布'!$C$8</x:f>
        <x:v>0</x:v>
      </x:c>
      <x:c r="E771" s="12" t="n">
        <x:f>C771/'客户小时分布'!$C$10</x:f>
        <x:v>0</x:v>
      </x:c>
      <x:c r="F771" s="8" t="n">
        <x:f>B771*C771</x:f>
        <x:v>0</x:v>
      </x:c>
      <x:c r="G771" s="12" t="n">
        <x:f>F771/'客户小时分布'!$C$6</x:f>
        <x:v>0</x:v>
      </x:c>
      <x:c r="H771" s="12" t="n">
        <x:f>SUM($C$8:C771)/'客户小时分布'!$C$8</x:f>
        <x:v>0.999998535742525</x:v>
      </x:c>
    </x:row>
    <x:row r="772" ht="22" customHeight="1">
      <x:c r="A772" s="2"/>
      <x:c r="B772" s="8" t="n">
        <x:v>765</x:v>
      </x:c>
      <x:c r="C772" s="8" t="n">
        <x:v>0</x:v>
      </x:c>
      <x:c r="D772" s="12" t="n">
        <x:f>C772/'客户小时分布'!$C$8</x:f>
        <x:v>0</x:v>
      </x:c>
      <x:c r="E772" s="12" t="n">
        <x:f>C772/'客户小时分布'!$C$10</x:f>
        <x:v>0</x:v>
      </x:c>
      <x:c r="F772" s="8" t="n">
        <x:f>B772*C772</x:f>
        <x:v>0</x:v>
      </x:c>
      <x:c r="G772" s="12" t="n">
        <x:f>F772/'客户小时分布'!$C$6</x:f>
        <x:v>0</x:v>
      </x:c>
      <x:c r="H772" s="12" t="n">
        <x:f>SUM($C$8:C772)/'客户小时分布'!$C$8</x:f>
        <x:v>0.999998535742525</x:v>
      </x:c>
    </x:row>
    <x:row r="773" ht="22" customHeight="1">
      <x:c r="A773" s="2"/>
      <x:c r="B773" s="8" t="n">
        <x:v>766</x:v>
      </x:c>
      <x:c r="C773" s="8" t="n">
        <x:v>0</x:v>
      </x:c>
      <x:c r="D773" s="12" t="n">
        <x:f>C773/'客户小时分布'!$C$8</x:f>
        <x:v>0</x:v>
      </x:c>
      <x:c r="E773" s="12" t="n">
        <x:f>C773/'客户小时分布'!$C$10</x:f>
        <x:v>0</x:v>
      </x:c>
      <x:c r="F773" s="8" t="n">
        <x:f>B773*C773</x:f>
        <x:v>0</x:v>
      </x:c>
      <x:c r="G773" s="12" t="n">
        <x:f>F773/'客户小时分布'!$C$6</x:f>
        <x:v>0</x:v>
      </x:c>
      <x:c r="H773" s="12" t="n">
        <x:f>SUM($C$8:C773)/'客户小时分布'!$C$8</x:f>
        <x:v>0.999998535742525</x:v>
      </x:c>
    </x:row>
    <x:row r="774" ht="22" customHeight="1">
      <x:c r="A774" s="2"/>
      <x:c r="B774" s="8" t="n">
        <x:v>767</x:v>
      </x:c>
      <x:c r="C774" s="8" t="n">
        <x:v>0</x:v>
      </x:c>
      <x:c r="D774" s="12" t="n">
        <x:f>C774/'客户小时分布'!$C$8</x:f>
        <x:v>0</x:v>
      </x:c>
      <x:c r="E774" s="12" t="n">
        <x:f>C774/'客户小时分布'!$C$10</x:f>
        <x:v>0</x:v>
      </x:c>
      <x:c r="F774" s="8" t="n">
        <x:f>B774*C774</x:f>
        <x:v>0</x:v>
      </x:c>
      <x:c r="G774" s="12" t="n">
        <x:f>F774/'客户小时分布'!$C$6</x:f>
        <x:v>0</x:v>
      </x:c>
      <x:c r="H774" s="12" t="n">
        <x:f>SUM($C$8:C774)/'客户小时分布'!$C$8</x:f>
        <x:v>0.999998535742525</x:v>
      </x:c>
    </x:row>
    <x:row r="775" ht="22" customHeight="1">
      <x:c r="A775" s="2"/>
      <x:c r="B775" s="8" t="n">
        <x:v>768</x:v>
      </x:c>
      <x:c r="C775" s="8" t="n">
        <x:v>0</x:v>
      </x:c>
      <x:c r="D775" s="12" t="n">
        <x:f>C775/'客户小时分布'!$C$8</x:f>
        <x:v>0</x:v>
      </x:c>
      <x:c r="E775" s="12" t="n">
        <x:f>C775/'客户小时分布'!$C$10</x:f>
        <x:v>0</x:v>
      </x:c>
      <x:c r="F775" s="8" t="n">
        <x:f>B775*C775</x:f>
        <x:v>0</x:v>
      </x:c>
      <x:c r="G775" s="12" t="n">
        <x:f>F775/'客户小时分布'!$C$6</x:f>
        <x:v>0</x:v>
      </x:c>
      <x:c r="H775" s="12" t="n">
        <x:f>SUM($C$8:C775)/'客户小时分布'!$C$8</x:f>
        <x:v>0.999998535742525</x:v>
      </x:c>
    </x:row>
    <x:row r="776" ht="22" customHeight="1">
      <x:c r="A776" s="2"/>
      <x:c r="B776" s="8" t="n">
        <x:v>769</x:v>
      </x:c>
      <x:c r="C776" s="8" t="n">
        <x:v>0</x:v>
      </x:c>
      <x:c r="D776" s="12" t="n">
        <x:f>C776/'客户小时分布'!$C$8</x:f>
        <x:v>0</x:v>
      </x:c>
      <x:c r="E776" s="12" t="n">
        <x:f>C776/'客户小时分布'!$C$10</x:f>
        <x:v>0</x:v>
      </x:c>
      <x:c r="F776" s="8" t="n">
        <x:f>B776*C776</x:f>
        <x:v>0</x:v>
      </x:c>
      <x:c r="G776" s="12" t="n">
        <x:f>F776/'客户小时分布'!$C$6</x:f>
        <x:v>0</x:v>
      </x:c>
      <x:c r="H776" s="12" t="n">
        <x:f>SUM($C$8:C776)/'客户小时分布'!$C$8</x:f>
        <x:v>0.999998535742525</x:v>
      </x:c>
    </x:row>
    <x:row r="777" ht="22" customHeight="1">
      <x:c r="A777" s="2"/>
      <x:c r="B777" s="8" t="n">
        <x:v>770</x:v>
      </x:c>
      <x:c r="C777" s="8" t="n">
        <x:v>0</x:v>
      </x:c>
      <x:c r="D777" s="12" t="n">
        <x:f>C777/'客户小时分布'!$C$8</x:f>
        <x:v>0</x:v>
      </x:c>
      <x:c r="E777" s="12" t="n">
        <x:f>C777/'客户小时分布'!$C$10</x:f>
        <x:v>0</x:v>
      </x:c>
      <x:c r="F777" s="8" t="n">
        <x:f>B777*C777</x:f>
        <x:v>0</x:v>
      </x:c>
      <x:c r="G777" s="12" t="n">
        <x:f>F777/'客户小时分布'!$C$6</x:f>
        <x:v>0</x:v>
      </x:c>
      <x:c r="H777" s="12" t="n">
        <x:f>SUM($C$8:C777)/'客户小时分布'!$C$8</x:f>
        <x:v>0.999998535742525</x:v>
      </x:c>
    </x:row>
    <x:row r="778" ht="22" customHeight="1">
      <x:c r="A778" s="2"/>
      <x:c r="B778" s="8" t="n">
        <x:v>771</x:v>
      </x:c>
      <x:c r="C778" s="8" t="n">
        <x:v>0</x:v>
      </x:c>
      <x:c r="D778" s="12" t="n">
        <x:f>C778/'客户小时分布'!$C$8</x:f>
        <x:v>0</x:v>
      </x:c>
      <x:c r="E778" s="12" t="n">
        <x:f>C778/'客户小时分布'!$C$10</x:f>
        <x:v>0</x:v>
      </x:c>
      <x:c r="F778" s="8" t="n">
        <x:f>B778*C778</x:f>
        <x:v>0</x:v>
      </x:c>
      <x:c r="G778" s="12" t="n">
        <x:f>F778/'客户小时分布'!$C$6</x:f>
        <x:v>0</x:v>
      </x:c>
      <x:c r="H778" s="12" t="n">
        <x:f>SUM($C$8:C778)/'客户小时分布'!$C$8</x:f>
        <x:v>0.999998535742525</x:v>
      </x:c>
    </x:row>
    <x:row r="779" ht="22" customHeight="1">
      <x:c r="A779" s="2"/>
      <x:c r="B779" s="8" t="n">
        <x:v>772</x:v>
      </x:c>
      <x:c r="C779" s="8" t="n">
        <x:v>0</x:v>
      </x:c>
      <x:c r="D779" s="12" t="n">
        <x:f>C779/'客户小时分布'!$C$8</x:f>
        <x:v>0</x:v>
      </x:c>
      <x:c r="E779" s="12" t="n">
        <x:f>C779/'客户小时分布'!$C$10</x:f>
        <x:v>0</x:v>
      </x:c>
      <x:c r="F779" s="8" t="n">
        <x:f>B779*C779</x:f>
        <x:v>0</x:v>
      </x:c>
      <x:c r="G779" s="12" t="n">
        <x:f>F779/'客户小时分布'!$C$6</x:f>
        <x:v>0</x:v>
      </x:c>
      <x:c r="H779" s="12" t="n">
        <x:f>SUM($C$8:C779)/'客户小时分布'!$C$8</x:f>
        <x:v>0.999998535742525</x:v>
      </x:c>
    </x:row>
    <x:row r="780" ht="22" customHeight="1">
      <x:c r="A780" s="2"/>
      <x:c r="B780" s="8" t="n">
        <x:v>773</x:v>
      </x:c>
      <x:c r="C780" s="8" t="n">
        <x:v>0</x:v>
      </x:c>
      <x:c r="D780" s="12" t="n">
        <x:f>C780/'客户小时分布'!$C$8</x:f>
        <x:v>0</x:v>
      </x:c>
      <x:c r="E780" s="12" t="n">
        <x:f>C780/'客户小时分布'!$C$10</x:f>
        <x:v>0</x:v>
      </x:c>
      <x:c r="F780" s="8" t="n">
        <x:f>B780*C780</x:f>
        <x:v>0</x:v>
      </x:c>
      <x:c r="G780" s="12" t="n">
        <x:f>F780/'客户小时分布'!$C$6</x:f>
        <x:v>0</x:v>
      </x:c>
      <x:c r="H780" s="12" t="n">
        <x:f>SUM($C$8:C780)/'客户小时分布'!$C$8</x:f>
        <x:v>0.999998535742525</x:v>
      </x:c>
    </x:row>
    <x:row r="781" ht="22" customHeight="1">
      <x:c r="A781" s="2"/>
      <x:c r="B781" s="8" t="n">
        <x:v>774</x:v>
      </x:c>
      <x:c r="C781" s="8" t="n">
        <x:v>0</x:v>
      </x:c>
      <x:c r="D781" s="12" t="n">
        <x:f>C781/'客户小时分布'!$C$8</x:f>
        <x:v>0</x:v>
      </x:c>
      <x:c r="E781" s="12" t="n">
        <x:f>C781/'客户小时分布'!$C$10</x:f>
        <x:v>0</x:v>
      </x:c>
      <x:c r="F781" s="8" t="n">
        <x:f>B781*C781</x:f>
        <x:v>0</x:v>
      </x:c>
      <x:c r="G781" s="12" t="n">
        <x:f>F781/'客户小时分布'!$C$6</x:f>
        <x:v>0</x:v>
      </x:c>
      <x:c r="H781" s="12" t="n">
        <x:f>SUM($C$8:C781)/'客户小时分布'!$C$8</x:f>
        <x:v>0.999998535742525</x:v>
      </x:c>
    </x:row>
    <x:row r="782" ht="22" customHeight="1">
      <x:c r="A782" s="2"/>
      <x:c r="B782" s="8" t="n">
        <x:v>775</x:v>
      </x:c>
      <x:c r="C782" s="8" t="n">
        <x:v>0</x:v>
      </x:c>
      <x:c r="D782" s="12" t="n">
        <x:f>C782/'客户小时分布'!$C$8</x:f>
        <x:v>0</x:v>
      </x:c>
      <x:c r="E782" s="12" t="n">
        <x:f>C782/'客户小时分布'!$C$10</x:f>
        <x:v>0</x:v>
      </x:c>
      <x:c r="F782" s="8" t="n">
        <x:f>B782*C782</x:f>
        <x:v>0</x:v>
      </x:c>
      <x:c r="G782" s="12" t="n">
        <x:f>F782/'客户小时分布'!$C$6</x:f>
        <x:v>0</x:v>
      </x:c>
      <x:c r="H782" s="12" t="n">
        <x:f>SUM($C$8:C782)/'客户小时分布'!$C$8</x:f>
        <x:v>0.999998535742525</x:v>
      </x:c>
    </x:row>
    <x:row r="783" ht="22" customHeight="1">
      <x:c r="A783" s="2"/>
      <x:c r="B783" s="8" t="n">
        <x:v>776</x:v>
      </x:c>
      <x:c r="C783" s="8" t="n">
        <x:v>0</x:v>
      </x:c>
      <x:c r="D783" s="12" t="n">
        <x:f>C783/'客户小时分布'!$C$8</x:f>
        <x:v>0</x:v>
      </x:c>
      <x:c r="E783" s="12" t="n">
        <x:f>C783/'客户小时分布'!$C$10</x:f>
        <x:v>0</x:v>
      </x:c>
      <x:c r="F783" s="8" t="n">
        <x:f>B783*C783</x:f>
        <x:v>0</x:v>
      </x:c>
      <x:c r="G783" s="12" t="n">
        <x:f>F783/'客户小时分布'!$C$6</x:f>
        <x:v>0</x:v>
      </x:c>
      <x:c r="H783" s="12" t="n">
        <x:f>SUM($C$8:C783)/'客户小时分布'!$C$8</x:f>
        <x:v>0.999998535742525</x:v>
      </x:c>
    </x:row>
    <x:row r="784" ht="22" customHeight="1">
      <x:c r="A784" s="2"/>
      <x:c r="B784" s="8" t="n">
        <x:v>777</x:v>
      </x:c>
      <x:c r="C784" s="8" t="n">
        <x:v>0</x:v>
      </x:c>
      <x:c r="D784" s="12" t="n">
        <x:f>C784/'客户小时分布'!$C$8</x:f>
        <x:v>0</x:v>
      </x:c>
      <x:c r="E784" s="12" t="n">
        <x:f>C784/'客户小时分布'!$C$10</x:f>
        <x:v>0</x:v>
      </x:c>
      <x:c r="F784" s="8" t="n">
        <x:f>B784*C784</x:f>
        <x:v>0</x:v>
      </x:c>
      <x:c r="G784" s="12" t="n">
        <x:f>F784/'客户小时分布'!$C$6</x:f>
        <x:v>0</x:v>
      </x:c>
      <x:c r="H784" s="12" t="n">
        <x:f>SUM($C$8:C784)/'客户小时分布'!$C$8</x:f>
        <x:v>0.999998535742525</x:v>
      </x:c>
    </x:row>
    <x:row r="785" ht="22" customHeight="1">
      <x:c r="A785" s="2"/>
      <x:c r="B785" s="8" t="n">
        <x:v>778</x:v>
      </x:c>
      <x:c r="C785" s="8" t="n">
        <x:v>0</x:v>
      </x:c>
      <x:c r="D785" s="12" t="n">
        <x:f>C785/'客户小时分布'!$C$8</x:f>
        <x:v>0</x:v>
      </x:c>
      <x:c r="E785" s="12" t="n">
        <x:f>C785/'客户小时分布'!$C$10</x:f>
        <x:v>0</x:v>
      </x:c>
      <x:c r="F785" s="8" t="n">
        <x:f>B785*C785</x:f>
        <x:v>0</x:v>
      </x:c>
      <x:c r="G785" s="12" t="n">
        <x:f>F785/'客户小时分布'!$C$6</x:f>
        <x:v>0</x:v>
      </x:c>
      <x:c r="H785" s="12" t="n">
        <x:f>SUM($C$8:C785)/'客户小时分布'!$C$8</x:f>
        <x:v>0.999998535742525</x:v>
      </x:c>
    </x:row>
    <x:row r="786" ht="22" customHeight="1">
      <x:c r="A786" s="2"/>
      <x:c r="B786" s="8" t="n">
        <x:v>779</x:v>
      </x:c>
      <x:c r="C786" s="8" t="n">
        <x:v>0</x:v>
      </x:c>
      <x:c r="D786" s="12" t="n">
        <x:f>C786/'客户小时分布'!$C$8</x:f>
        <x:v>0</x:v>
      </x:c>
      <x:c r="E786" s="12" t="n">
        <x:f>C786/'客户小时分布'!$C$10</x:f>
        <x:v>0</x:v>
      </x:c>
      <x:c r="F786" s="8" t="n">
        <x:f>B786*C786</x:f>
        <x:v>0</x:v>
      </x:c>
      <x:c r="G786" s="12" t="n">
        <x:f>F786/'客户小时分布'!$C$6</x:f>
        <x:v>0</x:v>
      </x:c>
      <x:c r="H786" s="12" t="n">
        <x:f>SUM($C$8:C786)/'客户小时分布'!$C$8</x:f>
        <x:v>0.999998535742525</x:v>
      </x:c>
    </x:row>
    <x:row r="787" ht="22" customHeight="1">
      <x:c r="A787" s="2"/>
      <x:c r="B787" s="8" t="n">
        <x:v>780</x:v>
      </x:c>
      <x:c r="C787" s="8" t="n">
        <x:v>0</x:v>
      </x:c>
      <x:c r="D787" s="12" t="n">
        <x:f>C787/'客户小时分布'!$C$8</x:f>
        <x:v>0</x:v>
      </x:c>
      <x:c r="E787" s="12" t="n">
        <x:f>C787/'客户小时分布'!$C$10</x:f>
        <x:v>0</x:v>
      </x:c>
      <x:c r="F787" s="8" t="n">
        <x:f>B787*C787</x:f>
        <x:v>0</x:v>
      </x:c>
      <x:c r="G787" s="12" t="n">
        <x:f>F787/'客户小时分布'!$C$6</x:f>
        <x:v>0</x:v>
      </x:c>
      <x:c r="H787" s="12" t="n">
        <x:f>SUM($C$8:C787)/'客户小时分布'!$C$8</x:f>
        <x:v>0.999998535742525</x:v>
      </x:c>
    </x:row>
    <x:row r="788" ht="22" customHeight="1">
      <x:c r="A788" s="2"/>
      <x:c r="B788" s="8" t="n">
        <x:v>781</x:v>
      </x:c>
      <x:c r="C788" s="8" t="n">
        <x:v>0</x:v>
      </x:c>
      <x:c r="D788" s="12" t="n">
        <x:f>C788/'客户小时分布'!$C$8</x:f>
        <x:v>0</x:v>
      </x:c>
      <x:c r="E788" s="12" t="n">
        <x:f>C788/'客户小时分布'!$C$10</x:f>
        <x:v>0</x:v>
      </x:c>
      <x:c r="F788" s="8" t="n">
        <x:f>B788*C788</x:f>
        <x:v>0</x:v>
      </x:c>
      <x:c r="G788" s="12" t="n">
        <x:f>F788/'客户小时分布'!$C$6</x:f>
        <x:v>0</x:v>
      </x:c>
      <x:c r="H788" s="12" t="n">
        <x:f>SUM($C$8:C788)/'客户小时分布'!$C$8</x:f>
        <x:v>0.999998535742525</x:v>
      </x:c>
    </x:row>
    <x:row r="789" ht="22" customHeight="1">
      <x:c r="A789" s="2"/>
      <x:c r="B789" s="8" t="n">
        <x:v>782</x:v>
      </x:c>
      <x:c r="C789" s="8" t="n">
        <x:v>0</x:v>
      </x:c>
      <x:c r="D789" s="12" t="n">
        <x:f>C789/'客户小时分布'!$C$8</x:f>
        <x:v>0</x:v>
      </x:c>
      <x:c r="E789" s="12" t="n">
        <x:f>C789/'客户小时分布'!$C$10</x:f>
        <x:v>0</x:v>
      </x:c>
      <x:c r="F789" s="8" t="n">
        <x:f>B789*C789</x:f>
        <x:v>0</x:v>
      </x:c>
      <x:c r="G789" s="12" t="n">
        <x:f>F789/'客户小时分布'!$C$6</x:f>
        <x:v>0</x:v>
      </x:c>
      <x:c r="H789" s="12" t="n">
        <x:f>SUM($C$8:C789)/'客户小时分布'!$C$8</x:f>
        <x:v>0.999998535742525</x:v>
      </x:c>
    </x:row>
    <x:row r="790" ht="22" customHeight="1">
      <x:c r="A790" s="2"/>
      <x:c r="B790" s="8" t="n">
        <x:v>783</x:v>
      </x:c>
      <x:c r="C790" s="8" t="n">
        <x:v>0</x:v>
      </x:c>
      <x:c r="D790" s="12" t="n">
        <x:f>C790/'客户小时分布'!$C$8</x:f>
        <x:v>0</x:v>
      </x:c>
      <x:c r="E790" s="12" t="n">
        <x:f>C790/'客户小时分布'!$C$10</x:f>
        <x:v>0</x:v>
      </x:c>
      <x:c r="F790" s="8" t="n">
        <x:f>B790*C790</x:f>
        <x:v>0</x:v>
      </x:c>
      <x:c r="G790" s="12" t="n">
        <x:f>F790/'客户小时分布'!$C$6</x:f>
        <x:v>0</x:v>
      </x:c>
      <x:c r="H790" s="12" t="n">
        <x:f>SUM($C$8:C790)/'客户小时分布'!$C$8</x:f>
        <x:v>0.999998535742525</x:v>
      </x:c>
    </x:row>
    <x:row r="791" ht="22" customHeight="1">
      <x:c r="A791" s="2"/>
      <x:c r="B791" s="8" t="n">
        <x:v>784</x:v>
      </x:c>
      <x:c r="C791" s="8" t="n">
        <x:v>0</x:v>
      </x:c>
      <x:c r="D791" s="12" t="n">
        <x:f>C791/'客户小时分布'!$C$8</x:f>
        <x:v>0</x:v>
      </x:c>
      <x:c r="E791" s="12" t="n">
        <x:f>C791/'客户小时分布'!$C$10</x:f>
        <x:v>0</x:v>
      </x:c>
      <x:c r="F791" s="8" t="n">
        <x:f>B791*C791</x:f>
        <x:v>0</x:v>
      </x:c>
      <x:c r="G791" s="12" t="n">
        <x:f>F791/'客户小时分布'!$C$6</x:f>
        <x:v>0</x:v>
      </x:c>
      <x:c r="H791" s="12" t="n">
        <x:f>SUM($C$8:C791)/'客户小时分布'!$C$8</x:f>
        <x:v>0.999998535742525</x:v>
      </x:c>
    </x:row>
    <x:row r="792" ht="22" customHeight="1">
      <x:c r="A792" s="2"/>
      <x:c r="B792" s="8" t="n">
        <x:v>785</x:v>
      </x:c>
      <x:c r="C792" s="8" t="n">
        <x:v>0</x:v>
      </x:c>
      <x:c r="D792" s="12" t="n">
        <x:f>C792/'客户小时分布'!$C$8</x:f>
        <x:v>0</x:v>
      </x:c>
      <x:c r="E792" s="12" t="n">
        <x:f>C792/'客户小时分布'!$C$10</x:f>
        <x:v>0</x:v>
      </x:c>
      <x:c r="F792" s="8" t="n">
        <x:f>B792*C792</x:f>
        <x:v>0</x:v>
      </x:c>
      <x:c r="G792" s="12" t="n">
        <x:f>F792/'客户小时分布'!$C$6</x:f>
        <x:v>0</x:v>
      </x:c>
      <x:c r="H792" s="12" t="n">
        <x:f>SUM($C$8:C792)/'客户小时分布'!$C$8</x:f>
        <x:v>0.999998535742525</x:v>
      </x:c>
    </x:row>
    <x:row r="793" ht="22" customHeight="1">
      <x:c r="A793" s="2"/>
      <x:c r="B793" s="8" t="n">
        <x:v>786</x:v>
      </x:c>
      <x:c r="C793" s="8" t="n">
        <x:v>0</x:v>
      </x:c>
      <x:c r="D793" s="12" t="n">
        <x:f>C793/'客户小时分布'!$C$8</x:f>
        <x:v>0</x:v>
      </x:c>
      <x:c r="E793" s="12" t="n">
        <x:f>C793/'客户小时分布'!$C$10</x:f>
        <x:v>0</x:v>
      </x:c>
      <x:c r="F793" s="8" t="n">
        <x:f>B793*C793</x:f>
        <x:v>0</x:v>
      </x:c>
      <x:c r="G793" s="12" t="n">
        <x:f>F793/'客户小时分布'!$C$6</x:f>
        <x:v>0</x:v>
      </x:c>
      <x:c r="H793" s="12" t="n">
        <x:f>SUM($C$8:C793)/'客户小时分布'!$C$8</x:f>
        <x:v>0.999998535742525</x:v>
      </x:c>
    </x:row>
    <x:row r="794" ht="22" customHeight="1">
      <x:c r="A794" s="2"/>
      <x:c r="B794" s="8" t="n">
        <x:v>787</x:v>
      </x:c>
      <x:c r="C794" s="8" t="n">
        <x:v>0</x:v>
      </x:c>
      <x:c r="D794" s="12" t="n">
        <x:f>C794/'客户小时分布'!$C$8</x:f>
        <x:v>0</x:v>
      </x:c>
      <x:c r="E794" s="12" t="n">
        <x:f>C794/'客户小时分布'!$C$10</x:f>
        <x:v>0</x:v>
      </x:c>
      <x:c r="F794" s="8" t="n">
        <x:f>B794*C794</x:f>
        <x:v>0</x:v>
      </x:c>
      <x:c r="G794" s="12" t="n">
        <x:f>F794/'客户小时分布'!$C$6</x:f>
        <x:v>0</x:v>
      </x:c>
      <x:c r="H794" s="12" t="n">
        <x:f>SUM($C$8:C794)/'客户小时分布'!$C$8</x:f>
        <x:v>0.999998535742525</x:v>
      </x:c>
    </x:row>
    <x:row r="795" ht="22" customHeight="1">
      <x:c r="A795" s="2"/>
      <x:c r="B795" s="8" t="n">
        <x:v>788</x:v>
      </x:c>
      <x:c r="C795" s="8" t="n">
        <x:v>0</x:v>
      </x:c>
      <x:c r="D795" s="12" t="n">
        <x:f>C795/'客户小时分布'!$C$8</x:f>
        <x:v>0</x:v>
      </x:c>
      <x:c r="E795" s="12" t="n">
        <x:f>C795/'客户小时分布'!$C$10</x:f>
        <x:v>0</x:v>
      </x:c>
      <x:c r="F795" s="8" t="n">
        <x:f>B795*C795</x:f>
        <x:v>0</x:v>
      </x:c>
      <x:c r="G795" s="12" t="n">
        <x:f>F795/'客户小时分布'!$C$6</x:f>
        <x:v>0</x:v>
      </x:c>
      <x:c r="H795" s="12" t="n">
        <x:f>SUM($C$8:C795)/'客户小时分布'!$C$8</x:f>
        <x:v>0.999998535742525</x:v>
      </x:c>
    </x:row>
    <x:row r="796" ht="22" customHeight="1">
      <x:c r="A796" s="2"/>
      <x:c r="B796" s="8" t="n">
        <x:v>789</x:v>
      </x:c>
      <x:c r="C796" s="8" t="n">
        <x:v>0</x:v>
      </x:c>
      <x:c r="D796" s="12" t="n">
        <x:f>C796/'客户小时分布'!$C$8</x:f>
        <x:v>0</x:v>
      </x:c>
      <x:c r="E796" s="12" t="n">
        <x:f>C796/'客户小时分布'!$C$10</x:f>
        <x:v>0</x:v>
      </x:c>
      <x:c r="F796" s="8" t="n">
        <x:f>B796*C796</x:f>
        <x:v>0</x:v>
      </x:c>
      <x:c r="G796" s="12" t="n">
        <x:f>F796/'客户小时分布'!$C$6</x:f>
        <x:v>0</x:v>
      </x:c>
      <x:c r="H796" s="12" t="n">
        <x:f>SUM($C$8:C796)/'客户小时分布'!$C$8</x:f>
        <x:v>0.999998535742525</x:v>
      </x:c>
    </x:row>
    <x:row r="797" ht="22" customHeight="1">
      <x:c r="A797" s="2"/>
      <x:c r="B797" s="8" t="n">
        <x:v>790</x:v>
      </x:c>
      <x:c r="C797" s="8" t="n">
        <x:v>0</x:v>
      </x:c>
      <x:c r="D797" s="12" t="n">
        <x:f>C797/'客户小时分布'!$C$8</x:f>
        <x:v>0</x:v>
      </x:c>
      <x:c r="E797" s="12" t="n">
        <x:f>C797/'客户小时分布'!$C$10</x:f>
        <x:v>0</x:v>
      </x:c>
      <x:c r="F797" s="8" t="n">
        <x:f>B797*C797</x:f>
        <x:v>0</x:v>
      </x:c>
      <x:c r="G797" s="12" t="n">
        <x:f>F797/'客户小时分布'!$C$6</x:f>
        <x:v>0</x:v>
      </x:c>
      <x:c r="H797" s="12" t="n">
        <x:f>SUM($C$8:C797)/'客户小时分布'!$C$8</x:f>
        <x:v>0.999998535742525</x:v>
      </x:c>
    </x:row>
    <x:row r="798" ht="22" customHeight="1">
      <x:c r="A798" s="2"/>
      <x:c r="B798" s="8" t="n">
        <x:v>791</x:v>
      </x:c>
      <x:c r="C798" s="8" t="n">
        <x:v>0</x:v>
      </x:c>
      <x:c r="D798" s="12" t="n">
        <x:f>C798/'客户小时分布'!$C$8</x:f>
        <x:v>0</x:v>
      </x:c>
      <x:c r="E798" s="12" t="n">
        <x:f>C798/'客户小时分布'!$C$10</x:f>
        <x:v>0</x:v>
      </x:c>
      <x:c r="F798" s="8" t="n">
        <x:f>B798*C798</x:f>
        <x:v>0</x:v>
      </x:c>
      <x:c r="G798" s="12" t="n">
        <x:f>F798/'客户小时分布'!$C$6</x:f>
        <x:v>0</x:v>
      </x:c>
      <x:c r="H798" s="12" t="n">
        <x:f>SUM($C$8:C798)/'客户小时分布'!$C$8</x:f>
        <x:v>0.999998535742525</x:v>
      </x:c>
    </x:row>
    <x:row r="799" ht="22" customHeight="1">
      <x:c r="A799" s="2"/>
      <x:c r="B799" s="8" t="n">
        <x:v>792</x:v>
      </x:c>
      <x:c r="C799" s="8" t="n">
        <x:v>0</x:v>
      </x:c>
      <x:c r="D799" s="12" t="n">
        <x:f>C799/'客户小时分布'!$C$8</x:f>
        <x:v>0</x:v>
      </x:c>
      <x:c r="E799" s="12" t="n">
        <x:f>C799/'客户小时分布'!$C$10</x:f>
        <x:v>0</x:v>
      </x:c>
      <x:c r="F799" s="8" t="n">
        <x:f>B799*C799</x:f>
        <x:v>0</x:v>
      </x:c>
      <x:c r="G799" s="12" t="n">
        <x:f>F799/'客户小时分布'!$C$6</x:f>
        <x:v>0</x:v>
      </x:c>
      <x:c r="H799" s="12" t="n">
        <x:f>SUM($C$8:C799)/'客户小时分布'!$C$8</x:f>
        <x:v>0.999998535742525</x:v>
      </x:c>
    </x:row>
    <x:row r="800" ht="22" customHeight="1">
      <x:c r="A800" s="2"/>
      <x:c r="B800" s="8" t="n">
        <x:v>793</x:v>
      </x:c>
      <x:c r="C800" s="8" t="n">
        <x:v>0</x:v>
      </x:c>
      <x:c r="D800" s="12" t="n">
        <x:f>C800/'客户小时分布'!$C$8</x:f>
        <x:v>0</x:v>
      </x:c>
      <x:c r="E800" s="12" t="n">
        <x:f>C800/'客户小时分布'!$C$10</x:f>
        <x:v>0</x:v>
      </x:c>
      <x:c r="F800" s="8" t="n">
        <x:f>B800*C800</x:f>
        <x:v>0</x:v>
      </x:c>
      <x:c r="G800" s="12" t="n">
        <x:f>F800/'客户小时分布'!$C$6</x:f>
        <x:v>0</x:v>
      </x:c>
      <x:c r="H800" s="12" t="n">
        <x:f>SUM($C$8:C800)/'客户小时分布'!$C$8</x:f>
        <x:v>0.999998535742525</x:v>
      </x:c>
    </x:row>
    <x:row r="801" ht="22" customHeight="1">
      <x:c r="A801" s="2"/>
      <x:c r="B801" s="8" t="n">
        <x:v>794</x:v>
      </x:c>
      <x:c r="C801" s="8" t="n">
        <x:v>0</x:v>
      </x:c>
      <x:c r="D801" s="12" t="n">
        <x:f>C801/'客户小时分布'!$C$8</x:f>
        <x:v>0</x:v>
      </x:c>
      <x:c r="E801" s="12" t="n">
        <x:f>C801/'客户小时分布'!$C$10</x:f>
        <x:v>0</x:v>
      </x:c>
      <x:c r="F801" s="8" t="n">
        <x:f>B801*C801</x:f>
        <x:v>0</x:v>
      </x:c>
      <x:c r="G801" s="12" t="n">
        <x:f>F801/'客户小时分布'!$C$6</x:f>
        <x:v>0</x:v>
      </x:c>
      <x:c r="H801" s="12" t="n">
        <x:f>SUM($C$8:C801)/'客户小时分布'!$C$8</x:f>
        <x:v>0.999998535742525</x:v>
      </x:c>
    </x:row>
    <x:row r="802" ht="22" customHeight="1">
      <x:c r="A802" s="2"/>
      <x:c r="B802" s="8" t="n">
        <x:v>795</x:v>
      </x:c>
      <x:c r="C802" s="8" t="n">
        <x:v>0</x:v>
      </x:c>
      <x:c r="D802" s="12" t="n">
        <x:f>C802/'客户小时分布'!$C$8</x:f>
        <x:v>0</x:v>
      </x:c>
      <x:c r="E802" s="12" t="n">
        <x:f>C802/'客户小时分布'!$C$10</x:f>
        <x:v>0</x:v>
      </x:c>
      <x:c r="F802" s="8" t="n">
        <x:f>B802*C802</x:f>
        <x:v>0</x:v>
      </x:c>
      <x:c r="G802" s="12" t="n">
        <x:f>F802/'客户小时分布'!$C$6</x:f>
        <x:v>0</x:v>
      </x:c>
      <x:c r="H802" s="12" t="n">
        <x:f>SUM($C$8:C802)/'客户小时分布'!$C$8</x:f>
        <x:v>0.999998535742525</x:v>
      </x:c>
    </x:row>
    <x:row r="803" ht="22" customHeight="1">
      <x:c r="A803" s="2"/>
      <x:c r="B803" s="8" t="n">
        <x:v>796</x:v>
      </x:c>
      <x:c r="C803" s="8" t="n">
        <x:v>0</x:v>
      </x:c>
      <x:c r="D803" s="12" t="n">
        <x:f>C803/'客户小时分布'!$C$8</x:f>
        <x:v>0</x:v>
      </x:c>
      <x:c r="E803" s="12" t="n">
        <x:f>C803/'客户小时分布'!$C$10</x:f>
        <x:v>0</x:v>
      </x:c>
      <x:c r="F803" s="8" t="n">
        <x:f>B803*C803</x:f>
        <x:v>0</x:v>
      </x:c>
      <x:c r="G803" s="12" t="n">
        <x:f>F803/'客户小时分布'!$C$6</x:f>
        <x:v>0</x:v>
      </x:c>
      <x:c r="H803" s="12" t="n">
        <x:f>SUM($C$8:C803)/'客户小时分布'!$C$8</x:f>
        <x:v>0.999998535742525</x:v>
      </x:c>
    </x:row>
    <x:row r="804" ht="22" customHeight="1">
      <x:c r="A804" s="2"/>
      <x:c r="B804" s="8" t="n">
        <x:v>797</x:v>
      </x:c>
      <x:c r="C804" s="8" t="n">
        <x:v>0</x:v>
      </x:c>
      <x:c r="D804" s="12" t="n">
        <x:f>C804/'客户小时分布'!$C$8</x:f>
        <x:v>0</x:v>
      </x:c>
      <x:c r="E804" s="12" t="n">
        <x:f>C804/'客户小时分布'!$C$10</x:f>
        <x:v>0</x:v>
      </x:c>
      <x:c r="F804" s="8" t="n">
        <x:f>B804*C804</x:f>
        <x:v>0</x:v>
      </x:c>
      <x:c r="G804" s="12" t="n">
        <x:f>F804/'客户小时分布'!$C$6</x:f>
        <x:v>0</x:v>
      </x:c>
      <x:c r="H804" s="12" t="n">
        <x:f>SUM($C$8:C804)/'客户小时分布'!$C$8</x:f>
        <x:v>0.999998535742525</x:v>
      </x:c>
    </x:row>
    <x:row r="805" ht="22" customHeight="1">
      <x:c r="A805" s="2"/>
      <x:c r="B805" s="8" t="n">
        <x:v>798</x:v>
      </x:c>
      <x:c r="C805" s="8" t="n">
        <x:v>0</x:v>
      </x:c>
      <x:c r="D805" s="12" t="n">
        <x:f>C805/'客户小时分布'!$C$8</x:f>
        <x:v>0</x:v>
      </x:c>
      <x:c r="E805" s="12" t="n">
        <x:f>C805/'客户小时分布'!$C$10</x:f>
        <x:v>0</x:v>
      </x:c>
      <x:c r="F805" s="8" t="n">
        <x:f>B805*C805</x:f>
        <x:v>0</x:v>
      </x:c>
      <x:c r="G805" s="12" t="n">
        <x:f>F805/'客户小时分布'!$C$6</x:f>
        <x:v>0</x:v>
      </x:c>
      <x:c r="H805" s="12" t="n">
        <x:f>SUM($C$8:C805)/'客户小时分布'!$C$8</x:f>
        <x:v>0.999998535742525</x:v>
      </x:c>
    </x:row>
    <x:row r="806" ht="22" customHeight="1">
      <x:c r="A806" s="2"/>
      <x:c r="B806" s="8" t="n">
        <x:v>799</x:v>
      </x:c>
      <x:c r="C806" s="8" t="n">
        <x:v>0</x:v>
      </x:c>
      <x:c r="D806" s="12" t="n">
        <x:f>C806/'客户小时分布'!$C$8</x:f>
        <x:v>0</x:v>
      </x:c>
      <x:c r="E806" s="12" t="n">
        <x:f>C806/'客户小时分布'!$C$10</x:f>
        <x:v>0</x:v>
      </x:c>
      <x:c r="F806" s="8" t="n">
        <x:f>B806*C806</x:f>
        <x:v>0</x:v>
      </x:c>
      <x:c r="G806" s="12" t="n">
        <x:f>F806/'客户小时分布'!$C$6</x:f>
        <x:v>0</x:v>
      </x:c>
      <x:c r="H806" s="12" t="n">
        <x:f>SUM($C$8:C806)/'客户小时分布'!$C$8</x:f>
        <x:v>0.999998535742525</x:v>
      </x:c>
    </x:row>
    <x:row r="807" ht="22" customHeight="1">
      <x:c r="A807" s="2"/>
      <x:c r="B807" s="8" t="n">
        <x:v>800</x:v>
      </x:c>
      <x:c r="C807" s="8" t="n">
        <x:v>0</x:v>
      </x:c>
      <x:c r="D807" s="12" t="n">
        <x:f>C807/'客户小时分布'!$C$8</x:f>
        <x:v>0</x:v>
      </x:c>
      <x:c r="E807" s="12" t="n">
        <x:f>C807/'客户小时分布'!$C$10</x:f>
        <x:v>0</x:v>
      </x:c>
      <x:c r="F807" s="8" t="n">
        <x:f>B807*C807</x:f>
        <x:v>0</x:v>
      </x:c>
      <x:c r="G807" s="12" t="n">
        <x:f>F807/'客户小时分布'!$C$6</x:f>
        <x:v>0</x:v>
      </x:c>
      <x:c r="H807" s="12" t="n">
        <x:f>SUM($C$8:C807)/'客户小时分布'!$C$8</x:f>
        <x:v>0.999998535742525</x:v>
      </x:c>
    </x:row>
    <x:row r="808" ht="22" customHeight="1">
      <x:c r="A808" s="2"/>
      <x:c r="B808" s="8" t="n">
        <x:v>801</x:v>
      </x:c>
      <x:c r="C808" s="8" t="n">
        <x:v>0</x:v>
      </x:c>
      <x:c r="D808" s="12" t="n">
        <x:f>C808/'客户小时分布'!$C$8</x:f>
        <x:v>0</x:v>
      </x:c>
      <x:c r="E808" s="12" t="n">
        <x:f>C808/'客户小时分布'!$C$10</x:f>
        <x:v>0</x:v>
      </x:c>
      <x:c r="F808" s="8" t="n">
        <x:f>B808*C808</x:f>
        <x:v>0</x:v>
      </x:c>
      <x:c r="G808" s="12" t="n">
        <x:f>F808/'客户小时分布'!$C$6</x:f>
        <x:v>0</x:v>
      </x:c>
      <x:c r="H808" s="12" t="n">
        <x:f>SUM($C$8:C808)/'客户小时分布'!$C$8</x:f>
        <x:v>0.999998535742525</x:v>
      </x:c>
    </x:row>
    <x:row r="809" ht="22" customHeight="1">
      <x:c r="A809" s="2"/>
      <x:c r="B809" s="8" t="n">
        <x:v>802</x:v>
      </x:c>
      <x:c r="C809" s="8" t="n">
        <x:v>0</x:v>
      </x:c>
      <x:c r="D809" s="12" t="n">
        <x:f>C809/'客户小时分布'!$C$8</x:f>
        <x:v>0</x:v>
      </x:c>
      <x:c r="E809" s="12" t="n">
        <x:f>C809/'客户小时分布'!$C$10</x:f>
        <x:v>0</x:v>
      </x:c>
      <x:c r="F809" s="8" t="n">
        <x:f>B809*C809</x:f>
        <x:v>0</x:v>
      </x:c>
      <x:c r="G809" s="12" t="n">
        <x:f>F809/'客户小时分布'!$C$6</x:f>
        <x:v>0</x:v>
      </x:c>
      <x:c r="H809" s="12" t="n">
        <x:f>SUM($C$8:C809)/'客户小时分布'!$C$8</x:f>
        <x:v>0.999998535742525</x:v>
      </x:c>
    </x:row>
    <x:row r="810" ht="22" customHeight="1">
      <x:c r="A810" s="2"/>
      <x:c r="B810" s="8" t="n">
        <x:v>803</x:v>
      </x:c>
      <x:c r="C810" s="8" t="n">
        <x:v>0</x:v>
      </x:c>
      <x:c r="D810" s="12" t="n">
        <x:f>C810/'客户小时分布'!$C$8</x:f>
        <x:v>0</x:v>
      </x:c>
      <x:c r="E810" s="12" t="n">
        <x:f>C810/'客户小时分布'!$C$10</x:f>
        <x:v>0</x:v>
      </x:c>
      <x:c r="F810" s="8" t="n">
        <x:f>B810*C810</x:f>
        <x:v>0</x:v>
      </x:c>
      <x:c r="G810" s="12" t="n">
        <x:f>F810/'客户小时分布'!$C$6</x:f>
        <x:v>0</x:v>
      </x:c>
      <x:c r="H810" s="12" t="n">
        <x:f>SUM($C$8:C810)/'客户小时分布'!$C$8</x:f>
        <x:v>0.999998535742525</x:v>
      </x:c>
    </x:row>
    <x:row r="811" ht="22" customHeight="1">
      <x:c r="A811" s="2"/>
      <x:c r="B811" s="8" t="n">
        <x:v>804</x:v>
      </x:c>
      <x:c r="C811" s="8" t="n">
        <x:v>0</x:v>
      </x:c>
      <x:c r="D811" s="12" t="n">
        <x:f>C811/'客户小时分布'!$C$8</x:f>
        <x:v>0</x:v>
      </x:c>
      <x:c r="E811" s="12" t="n">
        <x:f>C811/'客户小时分布'!$C$10</x:f>
        <x:v>0</x:v>
      </x:c>
      <x:c r="F811" s="8" t="n">
        <x:f>B811*C811</x:f>
        <x:v>0</x:v>
      </x:c>
      <x:c r="G811" s="12" t="n">
        <x:f>F811/'客户小时分布'!$C$6</x:f>
        <x:v>0</x:v>
      </x:c>
      <x:c r="H811" s="12" t="n">
        <x:f>SUM($C$8:C811)/'客户小时分布'!$C$8</x:f>
        <x:v>0.999998535742525</x:v>
      </x:c>
    </x:row>
    <x:row r="812" ht="22" customHeight="1">
      <x:c r="A812" s="2"/>
      <x:c r="B812" s="8" t="n">
        <x:v>805</x:v>
      </x:c>
      <x:c r="C812" s="8" t="n">
        <x:v>0</x:v>
      </x:c>
      <x:c r="D812" s="12" t="n">
        <x:f>C812/'客户小时分布'!$C$8</x:f>
        <x:v>0</x:v>
      </x:c>
      <x:c r="E812" s="12" t="n">
        <x:f>C812/'客户小时分布'!$C$10</x:f>
        <x:v>0</x:v>
      </x:c>
      <x:c r="F812" s="8" t="n">
        <x:f>B812*C812</x:f>
        <x:v>0</x:v>
      </x:c>
      <x:c r="G812" s="12" t="n">
        <x:f>F812/'客户小时分布'!$C$6</x:f>
        <x:v>0</x:v>
      </x:c>
      <x:c r="H812" s="12" t="n">
        <x:f>SUM($C$8:C812)/'客户小时分布'!$C$8</x:f>
        <x:v>0.999998535742525</x:v>
      </x:c>
    </x:row>
    <x:row r="813" ht="22" customHeight="1">
      <x:c r="A813" s="2"/>
      <x:c r="B813" s="8" t="n">
        <x:v>806</x:v>
      </x:c>
      <x:c r="C813" s="8" t="n">
        <x:v>0</x:v>
      </x:c>
      <x:c r="D813" s="12" t="n">
        <x:f>C813/'客户小时分布'!$C$8</x:f>
        <x:v>0</x:v>
      </x:c>
      <x:c r="E813" s="12" t="n">
        <x:f>C813/'客户小时分布'!$C$10</x:f>
        <x:v>0</x:v>
      </x:c>
      <x:c r="F813" s="8" t="n">
        <x:f>B813*C813</x:f>
        <x:v>0</x:v>
      </x:c>
      <x:c r="G813" s="12" t="n">
        <x:f>F813/'客户小时分布'!$C$6</x:f>
        <x:v>0</x:v>
      </x:c>
      <x:c r="H813" s="12" t="n">
        <x:f>SUM($C$8:C813)/'客户小时分布'!$C$8</x:f>
        <x:v>0.999998535742525</x:v>
      </x:c>
    </x:row>
    <x:row r="814" ht="22" customHeight="1">
      <x:c r="A814" s="2"/>
      <x:c r="B814" s="8" t="n">
        <x:v>807</x:v>
      </x:c>
      <x:c r="C814" s="8" t="n">
        <x:v>0</x:v>
      </x:c>
      <x:c r="D814" s="12" t="n">
        <x:f>C814/'客户小时分布'!$C$8</x:f>
        <x:v>0</x:v>
      </x:c>
      <x:c r="E814" s="12" t="n">
        <x:f>C814/'客户小时分布'!$C$10</x:f>
        <x:v>0</x:v>
      </x:c>
      <x:c r="F814" s="8" t="n">
        <x:f>B814*C814</x:f>
        <x:v>0</x:v>
      </x:c>
      <x:c r="G814" s="12" t="n">
        <x:f>F814/'客户小时分布'!$C$6</x:f>
        <x:v>0</x:v>
      </x:c>
      <x:c r="H814" s="12" t="n">
        <x:f>SUM($C$8:C814)/'客户小时分布'!$C$8</x:f>
        <x:v>0.999998535742525</x:v>
      </x:c>
    </x:row>
    <x:row r="815" ht="22" customHeight="1">
      <x:c r="A815" s="2"/>
      <x:c r="B815" s="8" t="n">
        <x:v>808</x:v>
      </x:c>
      <x:c r="C815" s="8" t="n">
        <x:v>0</x:v>
      </x:c>
      <x:c r="D815" s="12" t="n">
        <x:f>C815/'客户小时分布'!$C$8</x:f>
        <x:v>0</x:v>
      </x:c>
      <x:c r="E815" s="12" t="n">
        <x:f>C815/'客户小时分布'!$C$10</x:f>
        <x:v>0</x:v>
      </x:c>
      <x:c r="F815" s="8" t="n">
        <x:f>B815*C815</x:f>
        <x:v>0</x:v>
      </x:c>
      <x:c r="G815" s="12" t="n">
        <x:f>F815/'客户小时分布'!$C$6</x:f>
        <x:v>0</x:v>
      </x:c>
      <x:c r="H815" s="12" t="n">
        <x:f>SUM($C$8:C815)/'客户小时分布'!$C$8</x:f>
        <x:v>0.999998535742525</x:v>
      </x:c>
    </x:row>
    <x:row r="816" ht="22" customHeight="1">
      <x:c r="A816" s="2"/>
      <x:c r="B816" s="8" t="n">
        <x:v>809</x:v>
      </x:c>
      <x:c r="C816" s="8" t="n">
        <x:v>0</x:v>
      </x:c>
      <x:c r="D816" s="12" t="n">
        <x:f>C816/'客户小时分布'!$C$8</x:f>
        <x:v>0</x:v>
      </x:c>
      <x:c r="E816" s="12" t="n">
        <x:f>C816/'客户小时分布'!$C$10</x:f>
        <x:v>0</x:v>
      </x:c>
      <x:c r="F816" s="8" t="n">
        <x:f>B816*C816</x:f>
        <x:v>0</x:v>
      </x:c>
      <x:c r="G816" s="12" t="n">
        <x:f>F816/'客户小时分布'!$C$6</x:f>
        <x:v>0</x:v>
      </x:c>
      <x:c r="H816" s="12" t="n">
        <x:f>SUM($C$8:C816)/'客户小时分布'!$C$8</x:f>
        <x:v>0.999998535742525</x:v>
      </x:c>
    </x:row>
    <x:row r="817" ht="22" customHeight="1">
      <x:c r="A817" s="2"/>
      <x:c r="B817" s="8" t="n">
        <x:v>810</x:v>
      </x:c>
      <x:c r="C817" s="8" t="n">
        <x:v>0</x:v>
      </x:c>
      <x:c r="D817" s="12" t="n">
        <x:f>C817/'客户小时分布'!$C$8</x:f>
        <x:v>0</x:v>
      </x:c>
      <x:c r="E817" s="12" t="n">
        <x:f>C817/'客户小时分布'!$C$10</x:f>
        <x:v>0</x:v>
      </x:c>
      <x:c r="F817" s="8" t="n">
        <x:f>B817*C817</x:f>
        <x:v>0</x:v>
      </x:c>
      <x:c r="G817" s="12" t="n">
        <x:f>F817/'客户小时分布'!$C$6</x:f>
        <x:v>0</x:v>
      </x:c>
      <x:c r="H817" s="12" t="n">
        <x:f>SUM($C$8:C817)/'客户小时分布'!$C$8</x:f>
        <x:v>0.999998535742525</x:v>
      </x:c>
    </x:row>
    <x:row r="818" ht="22" customHeight="1">
      <x:c r="A818" s="2"/>
      <x:c r="B818" s="8" t="n">
        <x:v>811</x:v>
      </x:c>
      <x:c r="C818" s="8" t="n">
        <x:v>0</x:v>
      </x:c>
      <x:c r="D818" s="12" t="n">
        <x:f>C818/'客户小时分布'!$C$8</x:f>
        <x:v>0</x:v>
      </x:c>
      <x:c r="E818" s="12" t="n">
        <x:f>C818/'客户小时分布'!$C$10</x:f>
        <x:v>0</x:v>
      </x:c>
      <x:c r="F818" s="8" t="n">
        <x:f>B818*C818</x:f>
        <x:v>0</x:v>
      </x:c>
      <x:c r="G818" s="12" t="n">
        <x:f>F818/'客户小时分布'!$C$6</x:f>
        <x:v>0</x:v>
      </x:c>
      <x:c r="H818" s="12" t="n">
        <x:f>SUM($C$8:C818)/'客户小时分布'!$C$8</x:f>
        <x:v>0.999998535742525</x:v>
      </x:c>
    </x:row>
    <x:row r="819" ht="22" customHeight="1">
      <x:c r="A819" s="2"/>
      <x:c r="B819" s="8" t="n">
        <x:v>812</x:v>
      </x:c>
      <x:c r="C819" s="8" t="n">
        <x:v>0</x:v>
      </x:c>
      <x:c r="D819" s="12" t="n">
        <x:f>C819/'客户小时分布'!$C$8</x:f>
        <x:v>0</x:v>
      </x:c>
      <x:c r="E819" s="12" t="n">
        <x:f>C819/'客户小时分布'!$C$10</x:f>
        <x:v>0</x:v>
      </x:c>
      <x:c r="F819" s="8" t="n">
        <x:f>B819*C819</x:f>
        <x:v>0</x:v>
      </x:c>
      <x:c r="G819" s="12" t="n">
        <x:f>F819/'客户小时分布'!$C$6</x:f>
        <x:v>0</x:v>
      </x:c>
      <x:c r="H819" s="12" t="n">
        <x:f>SUM($C$8:C819)/'客户小时分布'!$C$8</x:f>
        <x:v>0.999998535742525</x:v>
      </x:c>
    </x:row>
    <x:row r="820" ht="22" customHeight="1">
      <x:c r="A820" s="2"/>
      <x:c r="B820" s="8" t="n">
        <x:v>813</x:v>
      </x:c>
      <x:c r="C820" s="8" t="n">
        <x:v>0</x:v>
      </x:c>
      <x:c r="D820" s="12" t="n">
        <x:f>C820/'客户小时分布'!$C$8</x:f>
        <x:v>0</x:v>
      </x:c>
      <x:c r="E820" s="12" t="n">
        <x:f>C820/'客户小时分布'!$C$10</x:f>
        <x:v>0</x:v>
      </x:c>
      <x:c r="F820" s="8" t="n">
        <x:f>B820*C820</x:f>
        <x:v>0</x:v>
      </x:c>
      <x:c r="G820" s="12" t="n">
        <x:f>F820/'客户小时分布'!$C$6</x:f>
        <x:v>0</x:v>
      </x:c>
      <x:c r="H820" s="12" t="n">
        <x:f>SUM($C$8:C820)/'客户小时分布'!$C$8</x:f>
        <x:v>0.999998535742525</x:v>
      </x:c>
    </x:row>
    <x:row r="821" ht="22" customHeight="1">
      <x:c r="A821" s="2"/>
      <x:c r="B821" s="8" t="n">
        <x:v>814</x:v>
      </x:c>
      <x:c r="C821" s="8" t="n">
        <x:v>0</x:v>
      </x:c>
      <x:c r="D821" s="12" t="n">
        <x:f>C821/'客户小时分布'!$C$8</x:f>
        <x:v>0</x:v>
      </x:c>
      <x:c r="E821" s="12" t="n">
        <x:f>C821/'客户小时分布'!$C$10</x:f>
        <x:v>0</x:v>
      </x:c>
      <x:c r="F821" s="8" t="n">
        <x:f>B821*C821</x:f>
        <x:v>0</x:v>
      </x:c>
      <x:c r="G821" s="12" t="n">
        <x:f>F821/'客户小时分布'!$C$6</x:f>
        <x:v>0</x:v>
      </x:c>
      <x:c r="H821" s="12" t="n">
        <x:f>SUM($C$8:C821)/'客户小时分布'!$C$8</x:f>
        <x:v>0.999998535742525</x:v>
      </x:c>
    </x:row>
    <x:row r="822" ht="22" customHeight="1">
      <x:c r="A822" s="2"/>
      <x:c r="B822" s="8" t="n">
        <x:v>815</x:v>
      </x:c>
      <x:c r="C822" s="8" t="n">
        <x:v>0</x:v>
      </x:c>
      <x:c r="D822" s="12" t="n">
        <x:f>C822/'客户小时分布'!$C$8</x:f>
        <x:v>0</x:v>
      </x:c>
      <x:c r="E822" s="12" t="n">
        <x:f>C822/'客户小时分布'!$C$10</x:f>
        <x:v>0</x:v>
      </x:c>
      <x:c r="F822" s="8" t="n">
        <x:f>B822*C822</x:f>
        <x:v>0</x:v>
      </x:c>
      <x:c r="G822" s="12" t="n">
        <x:f>F822/'客户小时分布'!$C$6</x:f>
        <x:v>0</x:v>
      </x:c>
      <x:c r="H822" s="12" t="n">
        <x:f>SUM($C$8:C822)/'客户小时分布'!$C$8</x:f>
        <x:v>0.999998535742525</x:v>
      </x:c>
    </x:row>
    <x:row r="823" ht="22" customHeight="1">
      <x:c r="A823" s="2"/>
      <x:c r="B823" s="8" t="n">
        <x:v>816</x:v>
      </x:c>
      <x:c r="C823" s="8" t="n">
        <x:v>0</x:v>
      </x:c>
      <x:c r="D823" s="12" t="n">
        <x:f>C823/'客户小时分布'!$C$8</x:f>
        <x:v>0</x:v>
      </x:c>
      <x:c r="E823" s="12" t="n">
        <x:f>C823/'客户小时分布'!$C$10</x:f>
        <x:v>0</x:v>
      </x:c>
      <x:c r="F823" s="8" t="n">
        <x:f>B823*C823</x:f>
        <x:v>0</x:v>
      </x:c>
      <x:c r="G823" s="12" t="n">
        <x:f>F823/'客户小时分布'!$C$6</x:f>
        <x:v>0</x:v>
      </x:c>
      <x:c r="H823" s="12" t="n">
        <x:f>SUM($C$8:C823)/'客户小时分布'!$C$8</x:f>
        <x:v>0.999998535742525</x:v>
      </x:c>
    </x:row>
    <x:row r="824" ht="22" customHeight="1">
      <x:c r="A824" s="2"/>
      <x:c r="B824" s="8" t="n">
        <x:v>817</x:v>
      </x:c>
      <x:c r="C824" s="8" t="n">
        <x:v>0</x:v>
      </x:c>
      <x:c r="D824" s="12" t="n">
        <x:f>C824/'客户小时分布'!$C$8</x:f>
        <x:v>0</x:v>
      </x:c>
      <x:c r="E824" s="12" t="n">
        <x:f>C824/'客户小时分布'!$C$10</x:f>
        <x:v>0</x:v>
      </x:c>
      <x:c r="F824" s="8" t="n">
        <x:f>B824*C824</x:f>
        <x:v>0</x:v>
      </x:c>
      <x:c r="G824" s="12" t="n">
        <x:f>F824/'客户小时分布'!$C$6</x:f>
        <x:v>0</x:v>
      </x:c>
      <x:c r="H824" s="12" t="n">
        <x:f>SUM($C$8:C824)/'客户小时分布'!$C$8</x:f>
        <x:v>0.999998535742525</x:v>
      </x:c>
    </x:row>
    <x:row r="825" ht="22" customHeight="1">
      <x:c r="A825" s="2"/>
      <x:c r="B825" s="8" t="n">
        <x:v>818</x:v>
      </x:c>
      <x:c r="C825" s="8" t="n">
        <x:v>0</x:v>
      </x:c>
      <x:c r="D825" s="12" t="n">
        <x:f>C825/'客户小时分布'!$C$8</x:f>
        <x:v>0</x:v>
      </x:c>
      <x:c r="E825" s="12" t="n">
        <x:f>C825/'客户小时分布'!$C$10</x:f>
        <x:v>0</x:v>
      </x:c>
      <x:c r="F825" s="8" t="n">
        <x:f>B825*C825</x:f>
        <x:v>0</x:v>
      </x:c>
      <x:c r="G825" s="12" t="n">
        <x:f>F825/'客户小时分布'!$C$6</x:f>
        <x:v>0</x:v>
      </x:c>
      <x:c r="H825" s="12" t="n">
        <x:f>SUM($C$8:C825)/'客户小时分布'!$C$8</x:f>
        <x:v>0.999998535742525</x:v>
      </x:c>
    </x:row>
    <x:row r="826" ht="22" customHeight="1">
      <x:c r="A826" s="2"/>
      <x:c r="B826" s="8" t="n">
        <x:v>819</x:v>
      </x:c>
      <x:c r="C826" s="8" t="n">
        <x:v>0</x:v>
      </x:c>
      <x:c r="D826" s="12" t="n">
        <x:f>C826/'客户小时分布'!$C$8</x:f>
        <x:v>0</x:v>
      </x:c>
      <x:c r="E826" s="12" t="n">
        <x:f>C826/'客户小时分布'!$C$10</x:f>
        <x:v>0</x:v>
      </x:c>
      <x:c r="F826" s="8" t="n">
        <x:f>B826*C826</x:f>
        <x:v>0</x:v>
      </x:c>
      <x:c r="G826" s="12" t="n">
        <x:f>F826/'客户小时分布'!$C$6</x:f>
        <x:v>0</x:v>
      </x:c>
      <x:c r="H826" s="12" t="n">
        <x:f>SUM($C$8:C826)/'客户小时分布'!$C$8</x:f>
        <x:v>0.999998535742525</x:v>
      </x:c>
    </x:row>
    <x:row r="827" ht="22" customHeight="1">
      <x:c r="A827" s="2"/>
      <x:c r="B827" s="8" t="n">
        <x:v>820</x:v>
      </x:c>
      <x:c r="C827" s="8" t="n">
        <x:v>0</x:v>
      </x:c>
      <x:c r="D827" s="12" t="n">
        <x:f>C827/'客户小时分布'!$C$8</x:f>
        <x:v>0</x:v>
      </x:c>
      <x:c r="E827" s="12" t="n">
        <x:f>C827/'客户小时分布'!$C$10</x:f>
        <x:v>0</x:v>
      </x:c>
      <x:c r="F827" s="8" t="n">
        <x:f>B827*C827</x:f>
        <x:v>0</x:v>
      </x:c>
      <x:c r="G827" s="12" t="n">
        <x:f>F827/'客户小时分布'!$C$6</x:f>
        <x:v>0</x:v>
      </x:c>
      <x:c r="H827" s="12" t="n">
        <x:f>SUM($C$8:C827)/'客户小时分布'!$C$8</x:f>
        <x:v>0.999998535742525</x:v>
      </x:c>
    </x:row>
    <x:row r="828" ht="22" customHeight="1">
      <x:c r="A828" s="2"/>
      <x:c r="B828" s="8" t="n">
        <x:v>821</x:v>
      </x:c>
      <x:c r="C828" s="8" t="n">
        <x:v>0</x:v>
      </x:c>
      <x:c r="D828" s="12" t="n">
        <x:f>C828/'客户小时分布'!$C$8</x:f>
        <x:v>0</x:v>
      </x:c>
      <x:c r="E828" s="12" t="n">
        <x:f>C828/'客户小时分布'!$C$10</x:f>
        <x:v>0</x:v>
      </x:c>
      <x:c r="F828" s="8" t="n">
        <x:f>B828*C828</x:f>
        <x:v>0</x:v>
      </x:c>
      <x:c r="G828" s="12" t="n">
        <x:f>F828/'客户小时分布'!$C$6</x:f>
        <x:v>0</x:v>
      </x:c>
      <x:c r="H828" s="12" t="n">
        <x:f>SUM($C$8:C828)/'客户小时分布'!$C$8</x:f>
        <x:v>0.999998535742525</x:v>
      </x:c>
    </x:row>
    <x:row r="829" ht="22" customHeight="1">
      <x:c r="A829" s="2"/>
      <x:c r="B829" s="8" t="n">
        <x:v>822</x:v>
      </x:c>
      <x:c r="C829" s="8" t="n">
        <x:v>0</x:v>
      </x:c>
      <x:c r="D829" s="12" t="n">
        <x:f>C829/'客户小时分布'!$C$8</x:f>
        <x:v>0</x:v>
      </x:c>
      <x:c r="E829" s="12" t="n">
        <x:f>C829/'客户小时分布'!$C$10</x:f>
        <x:v>0</x:v>
      </x:c>
      <x:c r="F829" s="8" t="n">
        <x:f>B829*C829</x:f>
        <x:v>0</x:v>
      </x:c>
      <x:c r="G829" s="12" t="n">
        <x:f>F829/'客户小时分布'!$C$6</x:f>
        <x:v>0</x:v>
      </x:c>
      <x:c r="H829" s="12" t="n">
        <x:f>SUM($C$8:C829)/'客户小时分布'!$C$8</x:f>
        <x:v>0.999998535742525</x:v>
      </x:c>
    </x:row>
    <x:row r="830" ht="22" customHeight="1">
      <x:c r="A830" s="2"/>
      <x:c r="B830" s="8" t="n">
        <x:v>823</x:v>
      </x:c>
      <x:c r="C830" s="8" t="n">
        <x:v>0</x:v>
      </x:c>
      <x:c r="D830" s="12" t="n">
        <x:f>C830/'客户小时分布'!$C$8</x:f>
        <x:v>0</x:v>
      </x:c>
      <x:c r="E830" s="12" t="n">
        <x:f>C830/'客户小时分布'!$C$10</x:f>
        <x:v>0</x:v>
      </x:c>
      <x:c r="F830" s="8" t="n">
        <x:f>B830*C830</x:f>
        <x:v>0</x:v>
      </x:c>
      <x:c r="G830" s="12" t="n">
        <x:f>F830/'客户小时分布'!$C$6</x:f>
        <x:v>0</x:v>
      </x:c>
      <x:c r="H830" s="12" t="n">
        <x:f>SUM($C$8:C830)/'客户小时分布'!$C$8</x:f>
        <x:v>0.999998535742525</x:v>
      </x:c>
    </x:row>
    <x:row r="831" ht="22" customHeight="1">
      <x:c r="A831" s="2"/>
      <x:c r="B831" s="8" t="n">
        <x:v>824</x:v>
      </x:c>
      <x:c r="C831" s="8" t="n">
        <x:v>0</x:v>
      </x:c>
      <x:c r="D831" s="12" t="n">
        <x:f>C831/'客户小时分布'!$C$8</x:f>
        <x:v>0</x:v>
      </x:c>
      <x:c r="E831" s="12" t="n">
        <x:f>C831/'客户小时分布'!$C$10</x:f>
        <x:v>0</x:v>
      </x:c>
      <x:c r="F831" s="8" t="n">
        <x:f>B831*C831</x:f>
        <x:v>0</x:v>
      </x:c>
      <x:c r="G831" s="12" t="n">
        <x:f>F831/'客户小时分布'!$C$6</x:f>
        <x:v>0</x:v>
      </x:c>
      <x:c r="H831" s="12" t="n">
        <x:f>SUM($C$8:C831)/'客户小时分布'!$C$8</x:f>
        <x:v>0.999998535742525</x:v>
      </x:c>
    </x:row>
    <x:row r="832" ht="22" customHeight="1">
      <x:c r="A832" s="2"/>
      <x:c r="B832" s="8" t="n">
        <x:v>825</x:v>
      </x:c>
      <x:c r="C832" s="8" t="n">
        <x:v>0</x:v>
      </x:c>
      <x:c r="D832" s="12" t="n">
        <x:f>C832/'客户小时分布'!$C$8</x:f>
        <x:v>0</x:v>
      </x:c>
      <x:c r="E832" s="12" t="n">
        <x:f>C832/'客户小时分布'!$C$10</x:f>
        <x:v>0</x:v>
      </x:c>
      <x:c r="F832" s="8" t="n">
        <x:f>B832*C832</x:f>
        <x:v>0</x:v>
      </x:c>
      <x:c r="G832" s="12" t="n">
        <x:f>F832/'客户小时分布'!$C$6</x:f>
        <x:v>0</x:v>
      </x:c>
      <x:c r="H832" s="12" t="n">
        <x:f>SUM($C$8:C832)/'客户小时分布'!$C$8</x:f>
        <x:v>0.999998535742525</x:v>
      </x:c>
    </x:row>
    <x:row r="833" ht="22" customHeight="1">
      <x:c r="A833" s="2"/>
      <x:c r="B833" s="8" t="n">
        <x:v>826</x:v>
      </x:c>
      <x:c r="C833" s="8" t="n">
        <x:v>0</x:v>
      </x:c>
      <x:c r="D833" s="12" t="n">
        <x:f>C833/'客户小时分布'!$C$8</x:f>
        <x:v>0</x:v>
      </x:c>
      <x:c r="E833" s="12" t="n">
        <x:f>C833/'客户小时分布'!$C$10</x:f>
        <x:v>0</x:v>
      </x:c>
      <x:c r="F833" s="8" t="n">
        <x:f>B833*C833</x:f>
        <x:v>0</x:v>
      </x:c>
      <x:c r="G833" s="12" t="n">
        <x:f>F833/'客户小时分布'!$C$6</x:f>
        <x:v>0</x:v>
      </x:c>
      <x:c r="H833" s="12" t="n">
        <x:f>SUM($C$8:C833)/'客户小时分布'!$C$8</x:f>
        <x:v>0.999998535742525</x:v>
      </x:c>
    </x:row>
    <x:row r="834" ht="22" customHeight="1">
      <x:c r="A834" s="2"/>
      <x:c r="B834" s="8" t="n">
        <x:v>827</x:v>
      </x:c>
      <x:c r="C834" s="8" t="n">
        <x:v>0</x:v>
      </x:c>
      <x:c r="D834" s="12" t="n">
        <x:f>C834/'客户小时分布'!$C$8</x:f>
        <x:v>0</x:v>
      </x:c>
      <x:c r="E834" s="12" t="n">
        <x:f>C834/'客户小时分布'!$C$10</x:f>
        <x:v>0</x:v>
      </x:c>
      <x:c r="F834" s="8" t="n">
        <x:f>B834*C834</x:f>
        <x:v>0</x:v>
      </x:c>
      <x:c r="G834" s="12" t="n">
        <x:f>F834/'客户小时分布'!$C$6</x:f>
        <x:v>0</x:v>
      </x:c>
      <x:c r="H834" s="12" t="n">
        <x:f>SUM($C$8:C834)/'客户小时分布'!$C$8</x:f>
        <x:v>0.999998535742525</x:v>
      </x:c>
    </x:row>
    <x:row r="835" ht="22" customHeight="1">
      <x:c r="A835" s="2"/>
      <x:c r="B835" s="8" t="n">
        <x:v>828</x:v>
      </x:c>
      <x:c r="C835" s="8" t="n">
        <x:v>0</x:v>
      </x:c>
      <x:c r="D835" s="12" t="n">
        <x:f>C835/'客户小时分布'!$C$8</x:f>
        <x:v>0</x:v>
      </x:c>
      <x:c r="E835" s="12" t="n">
        <x:f>C835/'客户小时分布'!$C$10</x:f>
        <x:v>0</x:v>
      </x:c>
      <x:c r="F835" s="8" t="n">
        <x:f>B835*C835</x:f>
        <x:v>0</x:v>
      </x:c>
      <x:c r="G835" s="12" t="n">
        <x:f>F835/'客户小时分布'!$C$6</x:f>
        <x:v>0</x:v>
      </x:c>
      <x:c r="H835" s="12" t="n">
        <x:f>SUM($C$8:C835)/'客户小时分布'!$C$8</x:f>
        <x:v>0.999998535742525</x:v>
      </x:c>
    </x:row>
    <x:row r="836" ht="22" customHeight="1">
      <x:c r="A836" s="2"/>
      <x:c r="B836" s="8" t="n">
        <x:v>829</x:v>
      </x:c>
      <x:c r="C836" s="8" t="n">
        <x:v>0</x:v>
      </x:c>
      <x:c r="D836" s="12" t="n">
        <x:f>C836/'客户小时分布'!$C$8</x:f>
        <x:v>0</x:v>
      </x:c>
      <x:c r="E836" s="12" t="n">
        <x:f>C836/'客户小时分布'!$C$10</x:f>
        <x:v>0</x:v>
      </x:c>
      <x:c r="F836" s="8" t="n">
        <x:f>B836*C836</x:f>
        <x:v>0</x:v>
      </x:c>
      <x:c r="G836" s="12" t="n">
        <x:f>F836/'客户小时分布'!$C$6</x:f>
        <x:v>0</x:v>
      </x:c>
      <x:c r="H836" s="12" t="n">
        <x:f>SUM($C$8:C836)/'客户小时分布'!$C$8</x:f>
        <x:v>0.999998535742525</x:v>
      </x:c>
    </x:row>
    <x:row r="837" ht="22" customHeight="1">
      <x:c r="A837" s="2"/>
      <x:c r="B837" s="8" t="n">
        <x:v>830</x:v>
      </x:c>
      <x:c r="C837" s="8" t="n">
        <x:v>0</x:v>
      </x:c>
      <x:c r="D837" s="12" t="n">
        <x:f>C837/'客户小时分布'!$C$8</x:f>
        <x:v>0</x:v>
      </x:c>
      <x:c r="E837" s="12" t="n">
        <x:f>C837/'客户小时分布'!$C$10</x:f>
        <x:v>0</x:v>
      </x:c>
      <x:c r="F837" s="8" t="n">
        <x:f>B837*C837</x:f>
        <x:v>0</x:v>
      </x:c>
      <x:c r="G837" s="12" t="n">
        <x:f>F837/'客户小时分布'!$C$6</x:f>
        <x:v>0</x:v>
      </x:c>
      <x:c r="H837" s="12" t="n">
        <x:f>SUM($C$8:C837)/'客户小时分布'!$C$8</x:f>
        <x:v>0.999998535742525</x:v>
      </x:c>
    </x:row>
    <x:row r="838" ht="22" customHeight="1">
      <x:c r="A838" s="2"/>
      <x:c r="B838" s="8" t="n">
        <x:v>831</x:v>
      </x:c>
      <x:c r="C838" s="8" t="n">
        <x:v>0</x:v>
      </x:c>
      <x:c r="D838" s="12" t="n">
        <x:f>C838/'客户小时分布'!$C$8</x:f>
        <x:v>0</x:v>
      </x:c>
      <x:c r="E838" s="12" t="n">
        <x:f>C838/'客户小时分布'!$C$10</x:f>
        <x:v>0</x:v>
      </x:c>
      <x:c r="F838" s="8" t="n">
        <x:f>B838*C838</x:f>
        <x:v>0</x:v>
      </x:c>
      <x:c r="G838" s="12" t="n">
        <x:f>F838/'客户小时分布'!$C$6</x:f>
        <x:v>0</x:v>
      </x:c>
      <x:c r="H838" s="12" t="n">
        <x:f>SUM($C$8:C838)/'客户小时分布'!$C$8</x:f>
        <x:v>0.999998535742525</x:v>
      </x:c>
    </x:row>
    <x:row r="839" ht="22" customHeight="1">
      <x:c r="A839" s="2"/>
      <x:c r="B839" s="8" t="n">
        <x:v>832</x:v>
      </x:c>
      <x:c r="C839" s="8" t="n">
        <x:v>0</x:v>
      </x:c>
      <x:c r="D839" s="12" t="n">
        <x:f>C839/'客户小时分布'!$C$8</x:f>
        <x:v>0</x:v>
      </x:c>
      <x:c r="E839" s="12" t="n">
        <x:f>C839/'客户小时分布'!$C$10</x:f>
        <x:v>0</x:v>
      </x:c>
      <x:c r="F839" s="8" t="n">
        <x:f>B839*C839</x:f>
        <x:v>0</x:v>
      </x:c>
      <x:c r="G839" s="12" t="n">
        <x:f>F839/'客户小时分布'!$C$6</x:f>
        <x:v>0</x:v>
      </x:c>
      <x:c r="H839" s="12" t="n">
        <x:f>SUM($C$8:C839)/'客户小时分布'!$C$8</x:f>
        <x:v>0.999998535742525</x:v>
      </x:c>
    </x:row>
    <x:row r="840" ht="22" customHeight="1">
      <x:c r="A840" s="2"/>
      <x:c r="B840" s="8" t="n">
        <x:v>833</x:v>
      </x:c>
      <x:c r="C840" s="8" t="n">
        <x:v>0</x:v>
      </x:c>
      <x:c r="D840" s="12" t="n">
        <x:f>C840/'客户小时分布'!$C$8</x:f>
        <x:v>0</x:v>
      </x:c>
      <x:c r="E840" s="12" t="n">
        <x:f>C840/'客户小时分布'!$C$10</x:f>
        <x:v>0</x:v>
      </x:c>
      <x:c r="F840" s="8" t="n">
        <x:f>B840*C840</x:f>
        <x:v>0</x:v>
      </x:c>
      <x:c r="G840" s="12" t="n">
        <x:f>F840/'客户小时分布'!$C$6</x:f>
        <x:v>0</x:v>
      </x:c>
      <x:c r="H840" s="12" t="n">
        <x:f>SUM($C$8:C840)/'客户小时分布'!$C$8</x:f>
        <x:v>0.999998535742525</x:v>
      </x:c>
    </x:row>
    <x:row r="841" ht="22" customHeight="1">
      <x:c r="A841" s="2"/>
      <x:c r="B841" s="8" t="n">
        <x:v>834</x:v>
      </x:c>
      <x:c r="C841" s="8" t="n">
        <x:v>0</x:v>
      </x:c>
      <x:c r="D841" s="12" t="n">
        <x:f>C841/'客户小时分布'!$C$8</x:f>
        <x:v>0</x:v>
      </x:c>
      <x:c r="E841" s="12" t="n">
        <x:f>C841/'客户小时分布'!$C$10</x:f>
        <x:v>0</x:v>
      </x:c>
      <x:c r="F841" s="8" t="n">
        <x:f>B841*C841</x:f>
        <x:v>0</x:v>
      </x:c>
      <x:c r="G841" s="12" t="n">
        <x:f>F841/'客户小时分布'!$C$6</x:f>
        <x:v>0</x:v>
      </x:c>
      <x:c r="H841" s="12" t="n">
        <x:f>SUM($C$8:C841)/'客户小时分布'!$C$8</x:f>
        <x:v>0.999998535742525</x:v>
      </x:c>
    </x:row>
    <x:row r="842" ht="22" customHeight="1">
      <x:c r="A842" s="2"/>
      <x:c r="B842" s="8" t="n">
        <x:v>835</x:v>
      </x:c>
      <x:c r="C842" s="8" t="n">
        <x:v>0</x:v>
      </x:c>
      <x:c r="D842" s="12" t="n">
        <x:f>C842/'客户小时分布'!$C$8</x:f>
        <x:v>0</x:v>
      </x:c>
      <x:c r="E842" s="12" t="n">
        <x:f>C842/'客户小时分布'!$C$10</x:f>
        <x:v>0</x:v>
      </x:c>
      <x:c r="F842" s="8" t="n">
        <x:f>B842*C842</x:f>
        <x:v>0</x:v>
      </x:c>
      <x:c r="G842" s="12" t="n">
        <x:f>F842/'客户小时分布'!$C$6</x:f>
        <x:v>0</x:v>
      </x:c>
      <x:c r="H842" s="12" t="n">
        <x:f>SUM($C$8:C842)/'客户小时分布'!$C$8</x:f>
        <x:v>0.999998535742525</x:v>
      </x:c>
    </x:row>
    <x:row r="843" ht="22" customHeight="1">
      <x:c r="A843" s="2"/>
      <x:c r="B843" s="8" t="n">
        <x:v>836</x:v>
      </x:c>
      <x:c r="C843" s="8" t="n">
        <x:v>0</x:v>
      </x:c>
      <x:c r="D843" s="12" t="n">
        <x:f>C843/'客户小时分布'!$C$8</x:f>
        <x:v>0</x:v>
      </x:c>
      <x:c r="E843" s="12" t="n">
        <x:f>C843/'客户小时分布'!$C$10</x:f>
        <x:v>0</x:v>
      </x:c>
      <x:c r="F843" s="8" t="n">
        <x:f>B843*C843</x:f>
        <x:v>0</x:v>
      </x:c>
      <x:c r="G843" s="12" t="n">
        <x:f>F843/'客户小时分布'!$C$6</x:f>
        <x:v>0</x:v>
      </x:c>
      <x:c r="H843" s="12" t="n">
        <x:f>SUM($C$8:C843)/'客户小时分布'!$C$8</x:f>
        <x:v>0.999998535742525</x:v>
      </x:c>
    </x:row>
    <x:row r="844" ht="22" customHeight="1">
      <x:c r="A844" s="2"/>
      <x:c r="B844" s="8" t="n">
        <x:v>837</x:v>
      </x:c>
      <x:c r="C844" s="8" t="n">
        <x:v>0</x:v>
      </x:c>
      <x:c r="D844" s="12" t="n">
        <x:f>C844/'客户小时分布'!$C$8</x:f>
        <x:v>0</x:v>
      </x:c>
      <x:c r="E844" s="12" t="n">
        <x:f>C844/'客户小时分布'!$C$10</x:f>
        <x:v>0</x:v>
      </x:c>
      <x:c r="F844" s="8" t="n">
        <x:f>B844*C844</x:f>
        <x:v>0</x:v>
      </x:c>
      <x:c r="G844" s="12" t="n">
        <x:f>F844/'客户小时分布'!$C$6</x:f>
        <x:v>0</x:v>
      </x:c>
      <x:c r="H844" s="12" t="n">
        <x:f>SUM($C$8:C844)/'客户小时分布'!$C$8</x:f>
        <x:v>0.999998535742525</x:v>
      </x:c>
    </x:row>
    <x:row r="845" ht="22" customHeight="1">
      <x:c r="A845" s="2"/>
      <x:c r="B845" s="8" t="n">
        <x:v>838</x:v>
      </x:c>
      <x:c r="C845" s="8" t="n">
        <x:v>0</x:v>
      </x:c>
      <x:c r="D845" s="12" t="n">
        <x:f>C845/'客户小时分布'!$C$8</x:f>
        <x:v>0</x:v>
      </x:c>
      <x:c r="E845" s="12" t="n">
        <x:f>C845/'客户小时分布'!$C$10</x:f>
        <x:v>0</x:v>
      </x:c>
      <x:c r="F845" s="8" t="n">
        <x:f>B845*C845</x:f>
        <x:v>0</x:v>
      </x:c>
      <x:c r="G845" s="12" t="n">
        <x:f>F845/'客户小时分布'!$C$6</x:f>
        <x:v>0</x:v>
      </x:c>
      <x:c r="H845" s="12" t="n">
        <x:f>SUM($C$8:C845)/'客户小时分布'!$C$8</x:f>
        <x:v>0.999998535742525</x:v>
      </x:c>
    </x:row>
    <x:row r="846" ht="22" customHeight="1">
      <x:c r="A846" s="2"/>
      <x:c r="B846" s="8" t="n">
        <x:v>839</x:v>
      </x:c>
      <x:c r="C846" s="8" t="n">
        <x:v>0</x:v>
      </x:c>
      <x:c r="D846" s="12" t="n">
        <x:f>C846/'客户小时分布'!$C$8</x:f>
        <x:v>0</x:v>
      </x:c>
      <x:c r="E846" s="12" t="n">
        <x:f>C846/'客户小时分布'!$C$10</x:f>
        <x:v>0</x:v>
      </x:c>
      <x:c r="F846" s="8" t="n">
        <x:f>B846*C846</x:f>
        <x:v>0</x:v>
      </x:c>
      <x:c r="G846" s="12" t="n">
        <x:f>F846/'客户小时分布'!$C$6</x:f>
        <x:v>0</x:v>
      </x:c>
      <x:c r="H846" s="12" t="n">
        <x:f>SUM($C$8:C846)/'客户小时分布'!$C$8</x:f>
        <x:v>0.999998535742525</x:v>
      </x:c>
    </x:row>
    <x:row r="847" ht="22" customHeight="1">
      <x:c r="A847" s="2"/>
      <x:c r="B847" s="8" t="n">
        <x:v>840</x:v>
      </x:c>
      <x:c r="C847" s="8" t="n">
        <x:v>0</x:v>
      </x:c>
      <x:c r="D847" s="12" t="n">
        <x:f>C847/'客户小时分布'!$C$8</x:f>
        <x:v>0</x:v>
      </x:c>
      <x:c r="E847" s="12" t="n">
        <x:f>C847/'客户小时分布'!$C$10</x:f>
        <x:v>0</x:v>
      </x:c>
      <x:c r="F847" s="8" t="n">
        <x:f>B847*C847</x:f>
        <x:v>0</x:v>
      </x:c>
      <x:c r="G847" s="12" t="n">
        <x:f>F847/'客户小时分布'!$C$6</x:f>
        <x:v>0</x:v>
      </x:c>
      <x:c r="H847" s="12" t="n">
        <x:f>SUM($C$8:C847)/'客户小时分布'!$C$8</x:f>
        <x:v>0.999998535742525</x:v>
      </x:c>
    </x:row>
    <x:row r="848" ht="22" customHeight="1">
      <x:c r="A848" s="2"/>
      <x:c r="B848" s="8" t="n">
        <x:v>841</x:v>
      </x:c>
      <x:c r="C848" s="8" t="n">
        <x:v>0</x:v>
      </x:c>
      <x:c r="D848" s="12" t="n">
        <x:f>C848/'客户小时分布'!$C$8</x:f>
        <x:v>0</x:v>
      </x:c>
      <x:c r="E848" s="12" t="n">
        <x:f>C848/'客户小时分布'!$C$10</x:f>
        <x:v>0</x:v>
      </x:c>
      <x:c r="F848" s="8" t="n">
        <x:f>B848*C848</x:f>
        <x:v>0</x:v>
      </x:c>
      <x:c r="G848" s="12" t="n">
        <x:f>F848/'客户小时分布'!$C$6</x:f>
        <x:v>0</x:v>
      </x:c>
      <x:c r="H848" s="12" t="n">
        <x:f>SUM($C$8:C848)/'客户小时分布'!$C$8</x:f>
        <x:v>0.999998535742525</x:v>
      </x:c>
    </x:row>
    <x:row r="849" ht="22" customHeight="1">
      <x:c r="A849" s="2"/>
      <x:c r="B849" s="8" t="n">
        <x:v>842</x:v>
      </x:c>
      <x:c r="C849" s="8" t="n">
        <x:v>0</x:v>
      </x:c>
      <x:c r="D849" s="12" t="n">
        <x:f>C849/'客户小时分布'!$C$8</x:f>
        <x:v>0</x:v>
      </x:c>
      <x:c r="E849" s="12" t="n">
        <x:f>C849/'客户小时分布'!$C$10</x:f>
        <x:v>0</x:v>
      </x:c>
      <x:c r="F849" s="8" t="n">
        <x:f>B849*C849</x:f>
        <x:v>0</x:v>
      </x:c>
      <x:c r="G849" s="12" t="n">
        <x:f>F849/'客户小时分布'!$C$6</x:f>
        <x:v>0</x:v>
      </x:c>
      <x:c r="H849" s="12" t="n">
        <x:f>SUM($C$8:C849)/'客户小时分布'!$C$8</x:f>
        <x:v>0.999998535742525</x:v>
      </x:c>
    </x:row>
    <x:row r="850" ht="22" customHeight="1">
      <x:c r="A850" s="2"/>
      <x:c r="B850" s="8" t="n">
        <x:v>843</x:v>
      </x:c>
      <x:c r="C850" s="8" t="n">
        <x:v>0</x:v>
      </x:c>
      <x:c r="D850" s="12" t="n">
        <x:f>C850/'客户小时分布'!$C$8</x:f>
        <x:v>0</x:v>
      </x:c>
      <x:c r="E850" s="12" t="n">
        <x:f>C850/'客户小时分布'!$C$10</x:f>
        <x:v>0</x:v>
      </x:c>
      <x:c r="F850" s="8" t="n">
        <x:f>B850*C850</x:f>
        <x:v>0</x:v>
      </x:c>
      <x:c r="G850" s="12" t="n">
        <x:f>F850/'客户小时分布'!$C$6</x:f>
        <x:v>0</x:v>
      </x:c>
      <x:c r="H850" s="12" t="n">
        <x:f>SUM($C$8:C850)/'客户小时分布'!$C$8</x:f>
        <x:v>0.999998535742525</x:v>
      </x:c>
    </x:row>
    <x:row r="851" ht="22" customHeight="1">
      <x:c r="A851" s="2"/>
      <x:c r="B851" s="8" t="n">
        <x:v>844</x:v>
      </x:c>
      <x:c r="C851" s="8" t="n">
        <x:v>0</x:v>
      </x:c>
      <x:c r="D851" s="12" t="n">
        <x:f>C851/'客户小时分布'!$C$8</x:f>
        <x:v>0</x:v>
      </x:c>
      <x:c r="E851" s="12" t="n">
        <x:f>C851/'客户小时分布'!$C$10</x:f>
        <x:v>0</x:v>
      </x:c>
      <x:c r="F851" s="8" t="n">
        <x:f>B851*C851</x:f>
        <x:v>0</x:v>
      </x:c>
      <x:c r="G851" s="12" t="n">
        <x:f>F851/'客户小时分布'!$C$6</x:f>
        <x:v>0</x:v>
      </x:c>
      <x:c r="H851" s="12" t="n">
        <x:f>SUM($C$8:C851)/'客户小时分布'!$C$8</x:f>
        <x:v>0.999998535742525</x:v>
      </x:c>
    </x:row>
    <x:row r="852" ht="22" customHeight="1">
      <x:c r="A852" s="2"/>
      <x:c r="B852" s="8" t="n">
        <x:v>845</x:v>
      </x:c>
      <x:c r="C852" s="8" t="n">
        <x:v>0</x:v>
      </x:c>
      <x:c r="D852" s="12" t="n">
        <x:f>C852/'客户小时分布'!$C$8</x:f>
        <x:v>0</x:v>
      </x:c>
      <x:c r="E852" s="12" t="n">
        <x:f>C852/'客户小时分布'!$C$10</x:f>
        <x:v>0</x:v>
      </x:c>
      <x:c r="F852" s="8" t="n">
        <x:f>B852*C852</x:f>
        <x:v>0</x:v>
      </x:c>
      <x:c r="G852" s="12" t="n">
        <x:f>F852/'客户小时分布'!$C$6</x:f>
        <x:v>0</x:v>
      </x:c>
      <x:c r="H852" s="12" t="n">
        <x:f>SUM($C$8:C852)/'客户小时分布'!$C$8</x:f>
        <x:v>0.999998535742525</x:v>
      </x:c>
    </x:row>
    <x:row r="853" ht="22" customHeight="1">
      <x:c r="A853" s="2"/>
      <x:c r="B853" s="8" t="n">
        <x:v>846</x:v>
      </x:c>
      <x:c r="C853" s="8" t="n">
        <x:v>0</x:v>
      </x:c>
      <x:c r="D853" s="12" t="n">
        <x:f>C853/'客户小时分布'!$C$8</x:f>
        <x:v>0</x:v>
      </x:c>
      <x:c r="E853" s="12" t="n">
        <x:f>C853/'客户小时分布'!$C$10</x:f>
        <x:v>0</x:v>
      </x:c>
      <x:c r="F853" s="8" t="n">
        <x:f>B853*C853</x:f>
        <x:v>0</x:v>
      </x:c>
      <x:c r="G853" s="12" t="n">
        <x:f>F853/'客户小时分布'!$C$6</x:f>
        <x:v>0</x:v>
      </x:c>
      <x:c r="H853" s="12" t="n">
        <x:f>SUM($C$8:C853)/'客户小时分布'!$C$8</x:f>
        <x:v>0.999998535742525</x:v>
      </x:c>
    </x:row>
    <x:row r="854" ht="22" customHeight="1">
      <x:c r="A854" s="2"/>
      <x:c r="B854" s="8" t="n">
        <x:v>847</x:v>
      </x:c>
      <x:c r="C854" s="8" t="n">
        <x:v>0</x:v>
      </x:c>
      <x:c r="D854" s="12" t="n">
        <x:f>C854/'客户小时分布'!$C$8</x:f>
        <x:v>0</x:v>
      </x:c>
      <x:c r="E854" s="12" t="n">
        <x:f>C854/'客户小时分布'!$C$10</x:f>
        <x:v>0</x:v>
      </x:c>
      <x:c r="F854" s="8" t="n">
        <x:f>B854*C854</x:f>
        <x:v>0</x:v>
      </x:c>
      <x:c r="G854" s="12" t="n">
        <x:f>F854/'客户小时分布'!$C$6</x:f>
        <x:v>0</x:v>
      </x:c>
      <x:c r="H854" s="12" t="n">
        <x:f>SUM($C$8:C854)/'客户小时分布'!$C$8</x:f>
        <x:v>0.999998535742525</x:v>
      </x:c>
    </x:row>
    <x:row r="855" ht="22" customHeight="1">
      <x:c r="A855" s="2"/>
      <x:c r="B855" s="8" t="n">
        <x:v>848</x:v>
      </x:c>
      <x:c r="C855" s="8" t="n">
        <x:v>0</x:v>
      </x:c>
      <x:c r="D855" s="12" t="n">
        <x:f>C855/'客户小时分布'!$C$8</x:f>
        <x:v>0</x:v>
      </x:c>
      <x:c r="E855" s="12" t="n">
        <x:f>C855/'客户小时分布'!$C$10</x:f>
        <x:v>0</x:v>
      </x:c>
      <x:c r="F855" s="8" t="n">
        <x:f>B855*C855</x:f>
        <x:v>0</x:v>
      </x:c>
      <x:c r="G855" s="12" t="n">
        <x:f>F855/'客户小时分布'!$C$6</x:f>
        <x:v>0</x:v>
      </x:c>
      <x:c r="H855" s="12" t="n">
        <x:f>SUM($C$8:C855)/'客户小时分布'!$C$8</x:f>
        <x:v>0.999998535742525</x:v>
      </x:c>
    </x:row>
    <x:row r="856" ht="22" customHeight="1">
      <x:c r="A856" s="2"/>
      <x:c r="B856" s="8" t="n">
        <x:v>849</x:v>
      </x:c>
      <x:c r="C856" s="8" t="n">
        <x:v>0</x:v>
      </x:c>
      <x:c r="D856" s="12" t="n">
        <x:f>C856/'客户小时分布'!$C$8</x:f>
        <x:v>0</x:v>
      </x:c>
      <x:c r="E856" s="12" t="n">
        <x:f>C856/'客户小时分布'!$C$10</x:f>
        <x:v>0</x:v>
      </x:c>
      <x:c r="F856" s="8" t="n">
        <x:f>B856*C856</x:f>
        <x:v>0</x:v>
      </x:c>
      <x:c r="G856" s="12" t="n">
        <x:f>F856/'客户小时分布'!$C$6</x:f>
        <x:v>0</x:v>
      </x:c>
      <x:c r="H856" s="12" t="n">
        <x:f>SUM($C$8:C856)/'客户小时分布'!$C$8</x:f>
        <x:v>0.999998535742525</x:v>
      </x:c>
    </x:row>
    <x:row r="857" ht="22" customHeight="1">
      <x:c r="A857" s="2"/>
      <x:c r="B857" s="8" t="n">
        <x:v>850</x:v>
      </x:c>
      <x:c r="C857" s="8" t="n">
        <x:v>0</x:v>
      </x:c>
      <x:c r="D857" s="12" t="n">
        <x:f>C857/'客户小时分布'!$C$8</x:f>
        <x:v>0</x:v>
      </x:c>
      <x:c r="E857" s="12" t="n">
        <x:f>C857/'客户小时分布'!$C$10</x:f>
        <x:v>0</x:v>
      </x:c>
      <x:c r="F857" s="8" t="n">
        <x:f>B857*C857</x:f>
        <x:v>0</x:v>
      </x:c>
      <x:c r="G857" s="12" t="n">
        <x:f>F857/'客户小时分布'!$C$6</x:f>
        <x:v>0</x:v>
      </x:c>
      <x:c r="H857" s="12" t="n">
        <x:f>SUM($C$8:C857)/'客户小时分布'!$C$8</x:f>
        <x:v>0.999998535742525</x:v>
      </x:c>
    </x:row>
    <x:row r="858" ht="22" customHeight="1">
      <x:c r="A858" s="2"/>
      <x:c r="B858" s="8" t="n">
        <x:v>851</x:v>
      </x:c>
      <x:c r="C858" s="8" t="n">
        <x:v>0</x:v>
      </x:c>
      <x:c r="D858" s="12" t="n">
        <x:f>C858/'客户小时分布'!$C$8</x:f>
        <x:v>0</x:v>
      </x:c>
      <x:c r="E858" s="12" t="n">
        <x:f>C858/'客户小时分布'!$C$10</x:f>
        <x:v>0</x:v>
      </x:c>
      <x:c r="F858" s="8" t="n">
        <x:f>B858*C858</x:f>
        <x:v>0</x:v>
      </x:c>
      <x:c r="G858" s="12" t="n">
        <x:f>F858/'客户小时分布'!$C$6</x:f>
        <x:v>0</x:v>
      </x:c>
      <x:c r="H858" s="12" t="n">
        <x:f>SUM($C$8:C858)/'客户小时分布'!$C$8</x:f>
        <x:v>0.999998535742525</x:v>
      </x:c>
    </x:row>
    <x:row r="859" ht="22" customHeight="1">
      <x:c r="A859" s="2"/>
      <x:c r="B859" s="8" t="n">
        <x:v>852</x:v>
      </x:c>
      <x:c r="C859" s="8" t="n">
        <x:v>0</x:v>
      </x:c>
      <x:c r="D859" s="12" t="n">
        <x:f>C859/'客户小时分布'!$C$8</x:f>
        <x:v>0</x:v>
      </x:c>
      <x:c r="E859" s="12" t="n">
        <x:f>C859/'客户小时分布'!$C$10</x:f>
        <x:v>0</x:v>
      </x:c>
      <x:c r="F859" s="8" t="n">
        <x:f>B859*C859</x:f>
        <x:v>0</x:v>
      </x:c>
      <x:c r="G859" s="12" t="n">
        <x:f>F859/'客户小时分布'!$C$6</x:f>
        <x:v>0</x:v>
      </x:c>
      <x:c r="H859" s="12" t="n">
        <x:f>SUM($C$8:C859)/'客户小时分布'!$C$8</x:f>
        <x:v>0.999998535742525</x:v>
      </x:c>
    </x:row>
    <x:row r="860" ht="22" customHeight="1">
      <x:c r="A860" s="2"/>
      <x:c r="B860" s="8" t="n">
        <x:v>853</x:v>
      </x:c>
      <x:c r="C860" s="8" t="n">
        <x:v>0</x:v>
      </x:c>
      <x:c r="D860" s="12" t="n">
        <x:f>C860/'客户小时分布'!$C$8</x:f>
        <x:v>0</x:v>
      </x:c>
      <x:c r="E860" s="12" t="n">
        <x:f>C860/'客户小时分布'!$C$10</x:f>
        <x:v>0</x:v>
      </x:c>
      <x:c r="F860" s="8" t="n">
        <x:f>B860*C860</x:f>
        <x:v>0</x:v>
      </x:c>
      <x:c r="G860" s="12" t="n">
        <x:f>F860/'客户小时分布'!$C$6</x:f>
        <x:v>0</x:v>
      </x:c>
      <x:c r="H860" s="12" t="n">
        <x:f>SUM($C$8:C860)/'客户小时分布'!$C$8</x:f>
        <x:v>0.999998535742525</x:v>
      </x:c>
    </x:row>
    <x:row r="861" ht="22" customHeight="1">
      <x:c r="A861" s="2"/>
      <x:c r="B861" s="8" t="n">
        <x:v>854</x:v>
      </x:c>
      <x:c r="C861" s="8" t="n">
        <x:v>0</x:v>
      </x:c>
      <x:c r="D861" s="12" t="n">
        <x:f>C861/'客户小时分布'!$C$8</x:f>
        <x:v>0</x:v>
      </x:c>
      <x:c r="E861" s="12" t="n">
        <x:f>C861/'客户小时分布'!$C$10</x:f>
        <x:v>0</x:v>
      </x:c>
      <x:c r="F861" s="8" t="n">
        <x:f>B861*C861</x:f>
        <x:v>0</x:v>
      </x:c>
      <x:c r="G861" s="12" t="n">
        <x:f>F861/'客户小时分布'!$C$6</x:f>
        <x:v>0</x:v>
      </x:c>
      <x:c r="H861" s="12" t="n">
        <x:f>SUM($C$8:C861)/'客户小时分布'!$C$8</x:f>
        <x:v>0.999998535742525</x:v>
      </x:c>
    </x:row>
    <x:row r="862" ht="22" customHeight="1">
      <x:c r="A862" s="2"/>
      <x:c r="B862" s="8" t="n">
        <x:v>855</x:v>
      </x:c>
      <x:c r="C862" s="8" t="n">
        <x:v>0</x:v>
      </x:c>
      <x:c r="D862" s="12" t="n">
        <x:f>C862/'客户小时分布'!$C$8</x:f>
        <x:v>0</x:v>
      </x:c>
      <x:c r="E862" s="12" t="n">
        <x:f>C862/'客户小时分布'!$C$10</x:f>
        <x:v>0</x:v>
      </x:c>
      <x:c r="F862" s="8" t="n">
        <x:f>B862*C862</x:f>
        <x:v>0</x:v>
      </x:c>
      <x:c r="G862" s="12" t="n">
        <x:f>F862/'客户小时分布'!$C$6</x:f>
        <x:v>0</x:v>
      </x:c>
      <x:c r="H862" s="12" t="n">
        <x:f>SUM($C$8:C862)/'客户小时分布'!$C$8</x:f>
        <x:v>0.999998535742525</x:v>
      </x:c>
    </x:row>
    <x:row r="863" ht="22" customHeight="1">
      <x:c r="A863" s="2"/>
      <x:c r="B863" s="8" t="n">
        <x:v>856</x:v>
      </x:c>
      <x:c r="C863" s="8" t="n">
        <x:v>0</x:v>
      </x:c>
      <x:c r="D863" s="12" t="n">
        <x:f>C863/'客户小时分布'!$C$8</x:f>
        <x:v>0</x:v>
      </x:c>
      <x:c r="E863" s="12" t="n">
        <x:f>C863/'客户小时分布'!$C$10</x:f>
        <x:v>0</x:v>
      </x:c>
      <x:c r="F863" s="8" t="n">
        <x:f>B863*C863</x:f>
        <x:v>0</x:v>
      </x:c>
      <x:c r="G863" s="12" t="n">
        <x:f>F863/'客户小时分布'!$C$6</x:f>
        <x:v>0</x:v>
      </x:c>
      <x:c r="H863" s="12" t="n">
        <x:f>SUM($C$8:C863)/'客户小时分布'!$C$8</x:f>
        <x:v>0.999998535742525</x:v>
      </x:c>
    </x:row>
    <x:row r="864" ht="22" customHeight="1">
      <x:c r="A864" s="2"/>
      <x:c r="B864" s="8" t="n">
        <x:v>857</x:v>
      </x:c>
      <x:c r="C864" s="8" t="n">
        <x:v>0</x:v>
      </x:c>
      <x:c r="D864" s="12" t="n">
        <x:f>C864/'客户小时分布'!$C$8</x:f>
        <x:v>0</x:v>
      </x:c>
      <x:c r="E864" s="12" t="n">
        <x:f>C864/'客户小时分布'!$C$10</x:f>
        <x:v>0</x:v>
      </x:c>
      <x:c r="F864" s="8" t="n">
        <x:f>B864*C864</x:f>
        <x:v>0</x:v>
      </x:c>
      <x:c r="G864" s="12" t="n">
        <x:f>F864/'客户小时分布'!$C$6</x:f>
        <x:v>0</x:v>
      </x:c>
      <x:c r="H864" s="12" t="n">
        <x:f>SUM($C$8:C864)/'客户小时分布'!$C$8</x:f>
        <x:v>0.999998535742525</x:v>
      </x:c>
    </x:row>
    <x:row r="865" ht="22" customHeight="1">
      <x:c r="A865" s="2"/>
      <x:c r="B865" s="8" t="n">
        <x:v>858</x:v>
      </x:c>
      <x:c r="C865" s="8" t="n">
        <x:v>0</x:v>
      </x:c>
      <x:c r="D865" s="12" t="n">
        <x:f>C865/'客户小时分布'!$C$8</x:f>
        <x:v>0</x:v>
      </x:c>
      <x:c r="E865" s="12" t="n">
        <x:f>C865/'客户小时分布'!$C$10</x:f>
        <x:v>0</x:v>
      </x:c>
      <x:c r="F865" s="8" t="n">
        <x:f>B865*C865</x:f>
        <x:v>0</x:v>
      </x:c>
      <x:c r="G865" s="12" t="n">
        <x:f>F865/'客户小时分布'!$C$6</x:f>
        <x:v>0</x:v>
      </x:c>
      <x:c r="H865" s="12" t="n">
        <x:f>SUM($C$8:C865)/'客户小时分布'!$C$8</x:f>
        <x:v>0.999998535742525</x:v>
      </x:c>
    </x:row>
    <x:row r="866" ht="22" customHeight="1">
      <x:c r="A866" s="2"/>
      <x:c r="B866" s="8" t="n">
        <x:v>859</x:v>
      </x:c>
      <x:c r="C866" s="8" t="n">
        <x:v>0</x:v>
      </x:c>
      <x:c r="D866" s="12" t="n">
        <x:f>C866/'客户小时分布'!$C$8</x:f>
        <x:v>0</x:v>
      </x:c>
      <x:c r="E866" s="12" t="n">
        <x:f>C866/'客户小时分布'!$C$10</x:f>
        <x:v>0</x:v>
      </x:c>
      <x:c r="F866" s="8" t="n">
        <x:f>B866*C866</x:f>
        <x:v>0</x:v>
      </x:c>
      <x:c r="G866" s="12" t="n">
        <x:f>F866/'客户小时分布'!$C$6</x:f>
        <x:v>0</x:v>
      </x:c>
      <x:c r="H866" s="12" t="n">
        <x:f>SUM($C$8:C866)/'客户小时分布'!$C$8</x:f>
        <x:v>0.999998535742525</x:v>
      </x:c>
    </x:row>
    <x:row r="867" ht="22" customHeight="1">
      <x:c r="A867" s="2"/>
      <x:c r="B867" s="8" t="n">
        <x:v>860</x:v>
      </x:c>
      <x:c r="C867" s="8" t="n">
        <x:v>0</x:v>
      </x:c>
      <x:c r="D867" s="12" t="n">
        <x:f>C867/'客户小时分布'!$C$8</x:f>
        <x:v>0</x:v>
      </x:c>
      <x:c r="E867" s="12" t="n">
        <x:f>C867/'客户小时分布'!$C$10</x:f>
        <x:v>0</x:v>
      </x:c>
      <x:c r="F867" s="8" t="n">
        <x:f>B867*C867</x:f>
        <x:v>0</x:v>
      </x:c>
      <x:c r="G867" s="12" t="n">
        <x:f>F867/'客户小时分布'!$C$6</x:f>
        <x:v>0</x:v>
      </x:c>
      <x:c r="H867" s="12" t="n">
        <x:f>SUM($C$8:C867)/'客户小时分布'!$C$8</x:f>
        <x:v>0.999998535742525</x:v>
      </x:c>
    </x:row>
    <x:row r="868" ht="22" customHeight="1">
      <x:c r="A868" s="2"/>
      <x:c r="B868" s="8" t="n">
        <x:v>861</x:v>
      </x:c>
      <x:c r="C868" s="8" t="n">
        <x:v>0</x:v>
      </x:c>
      <x:c r="D868" s="12" t="n">
        <x:f>C868/'客户小时分布'!$C$8</x:f>
        <x:v>0</x:v>
      </x:c>
      <x:c r="E868" s="12" t="n">
        <x:f>C868/'客户小时分布'!$C$10</x:f>
        <x:v>0</x:v>
      </x:c>
      <x:c r="F868" s="8" t="n">
        <x:f>B868*C868</x:f>
        <x:v>0</x:v>
      </x:c>
      <x:c r="G868" s="12" t="n">
        <x:f>F868/'客户小时分布'!$C$6</x:f>
        <x:v>0</x:v>
      </x:c>
      <x:c r="H868" s="12" t="n">
        <x:f>SUM($C$8:C868)/'客户小时分布'!$C$8</x:f>
        <x:v>0.999998535742525</x:v>
      </x:c>
    </x:row>
    <x:row r="869" ht="22" customHeight="1">
      <x:c r="A869" s="2"/>
      <x:c r="B869" s="8" t="n">
        <x:v>862</x:v>
      </x:c>
      <x:c r="C869" s="8" t="n">
        <x:v>1</x:v>
      </x:c>
      <x:c r="D869" s="12" t="n">
        <x:f>C869/'客户小时分布'!$C$8</x:f>
        <x:v>0.00000146425747503441</x:v>
      </x:c>
      <x:c r="E869" s="12" t="n">
        <x:f>C869/'客户小时分布'!$C$10</x:f>
        <x:v>1.3440860215053764e-7</x:v>
      </x:c>
      <x:c r="F869" s="8" t="n">
        <x:f>B869*C869</x:f>
        <x:v>862</x:v>
      </x:c>
      <x:c r="G869" s="12" t="n">
        <x:f>F869/'客户小时分布'!$C$6</x:f>
        <x:v>0.0000703276993394581</x:v>
      </x:c>
      <x:c r="H869" s="12" t="n">
        <x:f>SUM($C$8:C869)/'客户小时分布'!$C$8</x:f>
        <x:v>1</x:v>
      </x:c>
    </x:row>
    <x:row r="870" ht="22" customHeight="1">
      <x:c r="A870" s="2"/>
      <x:c r="B870" s="2"/>
      <x:c r="C870" s="2"/>
      <x:c r="D870" s="2"/>
      <x:c r="E870" s="2"/>
      <x:c r="F870" s="2"/>
      <x:c r="G870" s="2"/>
      <x:c r="H870" s="2"/>
    </x:row>
    <x:row r="871" ht="22" customHeight="1">
      <x:c r="A871" s="2"/>
      <x:c r="B871" s="2"/>
      <x:c r="C871" s="2"/>
      <x:c r="D871" s="2"/>
      <x:c r="E871" s="2"/>
      <x:c r="F871" s="2"/>
      <x:c r="G871" s="2"/>
      <x:c r="H871" s="2"/>
    </x:row>
    <x:row r="872" ht="22" customHeight="1">
      <x:c r="A872" s="2"/>
      <x:c r="B872" s="2"/>
      <x:c r="C872" s="2"/>
      <x:c r="D872" s="2"/>
      <x:c r="E872" s="2"/>
      <x:c r="F872" s="2"/>
      <x:c r="G872" s="2"/>
      <x:c r="H872" s="2"/>
    </x:row>
  </x:sheetData>
  <x:pageMargins left="0.7" right="0.7" top="0.75" bottom="0.75" header="0.3" footer="0.3"/>
  <x:tableParts count="1">
    <x:tablePart xmlns:r="http://schemas.openxmlformats.org/officeDocument/2006/relationships" r:id="Rd96332beff6d48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2"/>
      <x:c r="B2" s="3" t="str">
        <x:v>同一客户、小时、商品、行为的出现次数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2"/>
      <x:c r="B4" s="11" t="str">
        <x:v>分组键：user_id＋源小时＋item_id＋behavior_type。字段相同不能证明为错误采集。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9" customHeight="1">
      <x:c r="A6" s="2"/>
      <x:c r="B6" s="7" t="str">
        <x:v>指标</x:v>
      </x:c>
      <x:c r="C6" s="7" t="str">
        <x:v>数值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/>
      <x:c r="B7" s="2" t="str">
        <x:v>不同四元组数</x:v>
      </x:c>
      <x:c r="C7" s="8" t="n">
        <x:v>6213379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/>
      <x:c r="B8" s="2" t="str">
        <x:v>每组平均出现次数</x:v>
      </x:c>
      <x:c r="C8" s="19" t="n">
        <x:f>'客户小时分布'!C6/C7</x:f>
        <x:v>1.9726635056383974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/>
      <x:c r="B9" s="2" t="str">
        <x:v>逐组保留一条的超额记录</x:v>
      </x:c>
      <x:c r="C9" s="8" t="n">
        <x:f>'客户小时分布'!C6-C7</x:f>
        <x:v>6043527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/>
      <x:c r="B10" s="2" t="str">
        <x:v>超额占全部记录比例</x:v>
      </x:c>
      <x:c r="C10" s="9" t="n">
        <x:f>C9/'客户小时分布'!C6</x:f>
        <x:v>0.4930711714685582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9" customHeight="1">
      <x:c r="A14" s="2"/>
      <x:c r="B14" s="7" t="str">
        <x:v>出现次数 n</x:v>
      </x:c>
      <x:c r="C14" s="7" t="str">
        <x:v>四元组组数</x:v>
      </x:c>
      <x:c r="D14" s="7" t="str">
        <x:v>组数占比</x:v>
      </x:c>
      <x:c r="E14" s="7" t="str">
        <x:v>对应原始记录数</x:v>
      </x:c>
      <x:c r="F14" s="7" t="str">
        <x:v>记录占比</x:v>
      </x:c>
      <x:c r="G14" s="7" t="str">
        <x:v>累计组数占比</x:v>
      </x:c>
      <x:c r="H14" s="7" t="str">
        <x:v>超额记录数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/>
      <x:c r="B15" s="8" t="n">
        <x:v>1</x:v>
      </x:c>
      <x:c r="C15" s="8" t="n">
        <x:v>2370182</x:v>
      </x:c>
      <x:c r="D15" s="12" t="n">
        <x:f>C15/$C$7</x:f>
        <x:v>0.3814642564054116</x:v>
      </x:c>
      <x:c r="E15" s="8" t="n">
        <x:f>B15*C15</x:f>
        <x:v>2370182</x:v>
      </x:c>
      <x:c r="F15" s="12" t="n">
        <x:f>E15/'客户小时分布'!$C$6</x:f>
        <x:v>0.19337522862621284</x:v>
      </x:c>
      <x:c r="G15" s="12" t="n">
        <x:f>SUM($C$15:C15)/$C$7</x:f>
        <x:v>0.3814642564054116</x:v>
      </x:c>
      <x:c r="H15" s="8" t="n">
        <x:f>(B15-1)*C15</x:f>
        <x:v>0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/>
      <x:c r="B16" s="8" t="n">
        <x:v>2</x:v>
      </x:c>
      <x:c r="C16" s="8" t="n">
        <x:v>2443590</x:v>
      </x:c>
      <x:c r="D16" s="12" t="n">
        <x:f>C16/$C$7</x:f>
        <x:v>0.39327876184601</x:v>
      </x:c>
      <x:c r="E16" s="8" t="n">
        <x:f>B16*C16</x:f>
        <x:v>4887180</x:v>
      </x:c>
      <x:c r="F16" s="12" t="n">
        <x:f>E16/'客户小时分布'!$C$6</x:f>
        <x:v>0.3987286840577875</x:v>
      </x:c>
      <x:c r="G16" s="12" t="n">
        <x:f>SUM($C$15:C16)/$C$7</x:f>
        <x:v>0.7747430182514217</x:v>
      </x:c>
      <x:c r="H16" s="8" t="n">
        <x:f>(B16-1)*C16</x:f>
        <x:v>2443590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/>
      <x:c r="B17" s="8" t="n">
        <x:v>3</x:v>
      </x:c>
      <x:c r="C17" s="8" t="n">
        <x:v>907561</x:v>
      </x:c>
      <x:c r="D17" s="12" t="n">
        <x:f>C17/$C$7</x:f>
        <x:v>0.14606561099845994</x:v>
      </x:c>
      <x:c r="E17" s="8" t="n">
        <x:f>B17*C17</x:f>
        <x:v>2722683</x:v>
      </x:c>
      <x:c r="F17" s="12" t="n">
        <x:f>E17/'客户小时分布'!$C$6</x:f>
        <x:v>0.22213460721653572</x:v>
      </x:c>
      <x:c r="G17" s="12" t="n">
        <x:f>SUM($C$15:C17)/$C$7</x:f>
        <x:v>0.9208086292498816</x:v>
      </x:c>
      <x:c r="H17" s="8" t="n">
        <x:f>(B17-1)*C17</x:f>
        <x:v>1815122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/>
      <x:c r="B18" s="8" t="n">
        <x:v>4</x:v>
      </x:c>
      <x:c r="C18" s="8" t="n">
        <x:v>321304</x:v>
      </x:c>
      <x:c r="D18" s="12" t="n">
        <x:f>C18/$C$7</x:f>
        <x:v>0.051711637097946225</x:v>
      </x:c>
      <x:c r="E18" s="8" t="n">
        <x:f>B18*C18</x:f>
        <x:v>1285216</x:v>
      </x:c>
      <x:c r="F18" s="12" t="n">
        <x:f>E18/'客户小时分布'!$C$6</x:f>
        <x:v>0.1048564784620197</x:v>
      </x:c>
      <x:c r="G18" s="12" t="n">
        <x:f>SUM($C$15:C18)/$C$7</x:f>
        <x:v>0.9725202663478278</x:v>
      </x:c>
      <x:c r="H18" s="8" t="n">
        <x:f>(B18-1)*C18</x:f>
        <x:v>963912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/>
      <x:c r="B19" s="8" t="n">
        <x:v>5</x:v>
      </x:c>
      <x:c r="C19" s="8" t="n">
        <x:v>96894</x:v>
      </x:c>
      <x:c r="D19" s="12" t="n">
        <x:f>C19/$C$7</x:f>
        <x:v>0.015594413281404531</x:v>
      </x:c>
      <x:c r="E19" s="8" t="n">
        <x:f>B19*C19</x:f>
        <x:v>484470</x:v>
      </x:c>
      <x:c r="F19" s="12" t="n">
        <x:f>E19/'客户小时分布'!$C$6</x:f>
        <x:v>0.03952628828188778</x:v>
      </x:c>
      <x:c r="G19" s="12" t="n">
        <x:f>SUM($C$15:C19)/$C$7</x:f>
        <x:v>0.9881146796292324</x:v>
      </x:c>
      <x:c r="H19" s="8" t="n">
        <x:f>(B19-1)*C19</x:f>
        <x:v>387576</x:v>
      </x:c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/>
      <x:c r="B20" s="8" t="n">
        <x:v>6</x:v>
      </x:c>
      <x:c r="C20" s="8" t="n">
        <x:v>40190</x:v>
      </x:c>
      <x:c r="D20" s="12" t="n">
        <x:f>C20/$C$7</x:f>
        <x:v>0.0064683000988672995</x:v>
      </x:c>
      <x:c r="E20" s="8" t="n">
        <x:f>B20*C20</x:f>
        <x:v>241140</x:v>
      </x:c>
      <x:c r="F20" s="12" t="n">
        <x:f>E20/'客户小时分布'!$C$6</x:f>
        <x:v>0.019673806750251654</x:v>
      </x:c>
      <x:c r="G20" s="12" t="n">
        <x:f>SUM($C$15:C20)/$C$7</x:f>
        <x:v>0.9945829797280996</x:v>
      </x:c>
      <x:c r="H20" s="8" t="n">
        <x:f>(B20-1)*C20</x:f>
        <x:v>200950</x:v>
      </x:c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/>
      <x:c r="B21" s="8" t="n">
        <x:v>7</x:v>
      </x:c>
      <x:c r="C21" s="8" t="n">
        <x:v>17472</x:v>
      </x:c>
      <x:c r="D21" s="12" t="n">
        <x:f>C21/$C$7</x:f>
        <x:v>0.0028119964998111332</x:v>
      </x:c>
      <x:c r="E21" s="8" t="n">
        <x:f>B21*C21</x:f>
        <x:v>122304</x:v>
      </x:c>
      <x:c r="F21" s="12" t="n">
        <x:f>E21/'客户小时分布'!$C$6</x:f>
        <x:v>0.009978374640386407</x:v>
      </x:c>
      <x:c r="G21" s="12" t="n">
        <x:f>SUM($C$15:C21)/$C$7</x:f>
        <x:v>0.9973949762279107</x:v>
      </x:c>
      <x:c r="H21" s="8" t="n">
        <x:f>(B21-1)*C21</x:f>
        <x:v>104832</x:v>
      </x:c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/>
      <x:c r="B22" s="8" t="n">
        <x:v>8</x:v>
      </x:c>
      <x:c r="C22" s="8" t="n">
        <x:v>8528</x:v>
      </x:c>
      <x:c r="D22" s="12" t="n">
        <x:f>C22/$C$7</x:f>
        <x:v>0.0013725221010982913</x:v>
      </x:c>
      <x:c r="E22" s="8" t="n">
        <x:f>B22*C22</x:f>
        <x:v>68224</x:v>
      </x:c>
      <x:c r="F22" s="12" t="n">
        <x:f>E22/'客户小时分布'!$C$6</x:f>
        <x:v>0.005566168166746159</x:v>
      </x:c>
      <x:c r="G22" s="12" t="n">
        <x:f>SUM($C$15:C22)/$C$7</x:f>
        <x:v>0.998767498329009</x:v>
      </x:c>
      <x:c r="H22" s="8" t="n">
        <x:f>(B22-1)*C22</x:f>
        <x:v>59696</x:v>
      </x:c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/>
      <x:c r="B23" s="8" t="n">
        <x:v>9</x:v>
      </x:c>
      <x:c r="C23" s="8" t="n">
        <x:v>4038</x:v>
      </x:c>
      <x:c r="D23" s="12" t="n">
        <x:f>C23/$C$7</x:f>
        <x:v>0.000649887927325856</x:v>
      </x:c>
      <x:c r="E23" s="8" t="n">
        <x:f>B23*C23</x:f>
        <x:v>36342</x:v>
      </x:c>
      <x:c r="F23" s="12" t="n">
        <x:f>E23/'客户小时分布'!$C$6</x:f>
        <x:v>0.002965022331084207</x:v>
      </x:c>
      <x:c r="G23" s="12" t="n">
        <x:f>SUM($C$15:C23)/$C$7</x:f>
        <x:v>0.9994173862563349</x:v>
      </x:c>
      <x:c r="H23" s="8" t="n">
        <x:f>(B23-1)*C23</x:f>
        <x:v>32304</x:v>
      </x:c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/>
      <x:c r="B24" s="8" t="n">
        <x:v>10</x:v>
      </x:c>
      <x:c r="C24" s="8" t="n">
        <x:v>1959</x:v>
      </x:c>
      <x:c r="D24" s="12" t="n">
        <x:f>C24/$C$7</x:f>
        <x:v>0.00031528738227621397</x:v>
      </x:c>
      <x:c r="E24" s="8" t="n">
        <x:f>B24*C24</x:f>
        <x:v>19590</x:v>
      </x:c>
      <x:c r="F24" s="12" t="n">
        <x:f>E24/'客户小时分布'!$C$6</x:f>
        <x:v>0.0015982826334802601</x:v>
      </x:c>
      <x:c r="G24" s="12" t="n">
        <x:f>SUM($C$15:C24)/$C$7</x:f>
        <x:v>0.9997326736386112</x:v>
      </x:c>
      <x:c r="H24" s="8" t="n">
        <x:f>(B24-1)*C24</x:f>
        <x:v>17631</x:v>
      </x:c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/>
      <x:c r="B25" s="8" t="n">
        <x:v>11</x:v>
      </x:c>
      <x:c r="C25" s="8" t="n">
        <x:v>921</x:v>
      </x:c>
      <x:c r="D25" s="12" t="n">
        <x:f>C25/$C$7</x:f>
        <x:v>0.00014822852428606078</x:v>
      </x:c>
      <x:c r="E25" s="8" t="n">
        <x:f>B25*C25</x:f>
        <x:v>10131</x:v>
      </x:c>
      <x:c r="F25" s="12" t="n">
        <x:f>E25/'客户小时分布'!$C$6</x:f>
        <x:v>0.0008265544338840488</x:v>
      </x:c>
      <x:c r="G25" s="12" t="n">
        <x:f>SUM($C$15:C25)/$C$7</x:f>
        <x:v>0.9998809021628972</x:v>
      </x:c>
      <x:c r="H25" s="8" t="n">
        <x:f>(B25-1)*C25</x:f>
        <x:v>9210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/>
      <x:c r="B26" s="8" t="n">
        <x:v>12</x:v>
      </x:c>
      <x:c r="C26" s="8" t="n">
        <x:v>418</x:v>
      </x:c>
      <x:c r="D26" s="12" t="n">
        <x:f>C26/$C$7</x:f>
        <x:v>0.0000672741836607746</x:v>
      </x:c>
      <x:c r="E26" s="8" t="n">
        <x:f>B26*C26</x:f>
        <x:v>5016</x:v>
      </x:c>
      <x:c r="F26" s="12" t="n">
        <x:f>E26/'客户小时分布'!$C$6</x:f>
        <x:v>0.00040923867736278633</x:v>
      </x:c>
      <x:c r="G26" s="12" t="n">
        <x:f>SUM($C$15:C26)/$C$7</x:f>
        <x:v>0.999948176346558</x:v>
      </x:c>
      <x:c r="H26" s="8" t="n">
        <x:f>(B26-1)*C26</x:f>
        <x:v>4598</x:v>
      </x:c>
      <x:c r="I26" s="2"/>
      <x:c r="J26" s="2" t="str">
        <x:v>出现次数</x:v>
      </x:c>
      <x:c r="K26" s="2" t="str">
        <x:v>组数占比</x:v>
      </x:c>
      <x:c r="L26" s="2"/>
      <x:c r="M26" s="2"/>
      <x:c r="N26" s="2"/>
      <x:c r="O26" s="2"/>
      <x:c r="P26" s="2"/>
      <x:c r="Q26" s="2"/>
    </x:row>
    <x:row r="27" ht="22" customHeight="1">
      <x:c r="A27" s="2"/>
      <x:c r="B27" s="8" t="n">
        <x:v>13</x:v>
      </x:c>
      <x:c r="C27" s="8" t="n">
        <x:v>179</x:v>
      </x:c>
      <x:c r="D27" s="12" t="n">
        <x:f>C27/$C$7</x:f>
        <x:v>0.00002880880113703027</x:v>
      </x:c>
      <x:c r="E27" s="8" t="n">
        <x:f>B27*C27</x:f>
        <x:v>2327</x:v>
      </x:c>
      <x:c r="F27" s="12" t="n">
        <x:f>E27/'客户小时分布'!$C$6</x:f>
        <x:v>0.0001898521535532703</x:v>
      </x:c>
      <x:c r="G27" s="12" t="n">
        <x:f>SUM($C$15:C27)/$C$7</x:f>
        <x:v>0.999976985147695</x:v>
      </x:c>
      <x:c r="H27" s="8" t="n">
        <x:f>(B27-1)*C27</x:f>
        <x:v>2148</x:v>
      </x:c>
      <x:c r="I27" s="2"/>
      <x:c r="J27" s="2" t="str">
        <x:v>1次</x:v>
      </x:c>
      <x:c r="K27" s="12" t="n">
        <x:f>D15</x:f>
        <x:v>0.3814642564054116</x:v>
      </x:c>
      <x:c r="L27" s="2"/>
      <x:c r="M27" s="2"/>
      <x:c r="N27" s="2"/>
      <x:c r="O27" s="2"/>
      <x:c r="P27" s="2"/>
      <x:c r="Q27" s="2"/>
    </x:row>
    <x:row r="28" ht="22" customHeight="1">
      <x:c r="A28" s="2"/>
      <x:c r="B28" s="8" t="n">
        <x:v>14</x:v>
      </x:c>
      <x:c r="C28" s="8" t="n">
        <x:v>90</x:v>
      </x:c>
      <x:c r="D28" s="12" t="n">
        <x:f>C28/$C$7</x:f>
        <x:v>0.000014484872080071086</x:v>
      </x:c>
      <x:c r="E28" s="8" t="n">
        <x:f>B28*C28</x:f>
        <x:v>1260</x:v>
      </x:c>
      <x:c r="F28" s="12" t="n">
        <x:f>E28/'客户小时分布'!$C$6</x:f>
        <x:v>0.00010279918928969513</x:v>
      </x:c>
      <x:c r="G28" s="12" t="n">
        <x:f>SUM($C$15:C28)/$C$7</x:f>
        <x:v>0.9999914700197751</x:v>
      </x:c>
      <x:c r="H28" s="8" t="n">
        <x:f>(B28-1)*C28</x:f>
        <x:v>1170</x:v>
      </x:c>
      <x:c r="I28" s="2"/>
      <x:c r="J28" s="2" t="str">
        <x:v>2次</x:v>
      </x:c>
      <x:c r="K28" s="12" t="n">
        <x:f>D16</x:f>
        <x:v>0.39327876184601</x:v>
      </x:c>
      <x:c r="L28" s="2"/>
      <x:c r="M28" s="2"/>
      <x:c r="N28" s="2"/>
      <x:c r="O28" s="2"/>
      <x:c r="P28" s="2"/>
      <x:c r="Q28" s="2"/>
    </x:row>
    <x:row r="29" ht="22" customHeight="1">
      <x:c r="A29" s="2"/>
      <x:c r="B29" s="8" t="n">
        <x:v>15</x:v>
      </x:c>
      <x:c r="C29" s="8" t="n">
        <x:v>33</x:v>
      </x:c>
      <x:c r="D29" s="12" t="n">
        <x:f>C29/$C$7</x:f>
        <x:v>0.000005311119762692732</x:v>
      </x:c>
      <x:c r="E29" s="8" t="n">
        <x:f>B29*C29</x:f>
        <x:v>495</x:v>
      </x:c>
      <x:c r="F29" s="12" t="n">
        <x:f>E29/'客户小时分布'!$C$6</x:f>
        <x:v>0.00004038539579238023</x:v>
      </x:c>
      <x:c r="G29" s="12" t="n">
        <x:f>SUM($C$15:C29)/$C$7</x:f>
        <x:v>0.9999967811395377</x:v>
      </x:c>
      <x:c r="H29" s="8" t="n">
        <x:f>(B29-1)*C29</x:f>
        <x:v>462</x:v>
      </x:c>
      <x:c r="I29" s="2"/>
      <x:c r="J29" s="2" t="str">
        <x:v>3次</x:v>
      </x:c>
      <x:c r="K29" s="12" t="n">
        <x:f>D17</x:f>
        <x:v>0.14606561099845994</x:v>
      </x:c>
      <x:c r="L29" s="2"/>
      <x:c r="M29" s="2"/>
      <x:c r="N29" s="2"/>
      <x:c r="O29" s="2"/>
      <x:c r="P29" s="2"/>
      <x:c r="Q29" s="2"/>
    </x:row>
    <x:row r="30" ht="22" customHeight="1">
      <x:c r="A30" s="2"/>
      <x:c r="B30" s="8" t="n">
        <x:v>16</x:v>
      </x:c>
      <x:c r="C30" s="8" t="n">
        <x:v>12</x:v>
      </x:c>
      <x:c r="D30" s="12" t="n">
        <x:f>C30/$C$7</x:f>
        <x:v>0.0000019313162773428113</x:v>
      </x:c>
      <x:c r="E30" s="8" t="n">
        <x:f>B30*C30</x:f>
        <x:v>192</x:v>
      </x:c>
      <x:c r="F30" s="12" t="n">
        <x:f>E30/'客户小时分布'!$C$6</x:f>
        <x:v>0.000015664638367953545</x:v>
      </x:c>
      <x:c r="G30" s="12" t="n">
        <x:f>SUM($C$15:C30)/$C$7</x:f>
        <x:v>0.9999987124558151</x:v>
      </x:c>
      <x:c r="H30" s="8" t="n">
        <x:f>(B30-1)*C30</x:f>
        <x:v>180</x:v>
      </x:c>
      <x:c r="I30" s="2"/>
      <x:c r="J30" s="2" t="str">
        <x:v>4次</x:v>
      </x:c>
      <x:c r="K30" s="12" t="n">
        <x:f>D18</x:f>
        <x:v>0.051711637097946225</x:v>
      </x:c>
      <x:c r="L30" s="2"/>
      <x:c r="M30" s="2"/>
      <x:c r="N30" s="2"/>
      <x:c r="O30" s="2"/>
      <x:c r="P30" s="2"/>
      <x:c r="Q30" s="2"/>
    </x:row>
    <x:row r="31" ht="22" customHeight="1">
      <x:c r="A31" s="2"/>
      <x:c r="B31" s="8" t="n">
        <x:v>17</x:v>
      </x:c>
      <x:c r="C31" s="8" t="n">
        <x:v>2</x:v>
      </x:c>
      <x:c r="D31" s="12" t="n">
        <x:f>C31/$C$7</x:f>
        <x:v>3.218860462238019e-7</x:v>
      </x:c>
      <x:c r="E31" s="8" t="n">
        <x:f>B31*C31</x:f>
        <x:v>34</x:v>
      </x:c>
      <x:c r="F31" s="12" t="n">
        <x:f>E31/'客户小时分布'!$C$6</x:f>
        <x:v>0.00000277394637765844</x:v>
      </x:c>
      <x:c r="G31" s="12" t="n">
        <x:f>SUM($C$15:C31)/$C$7</x:f>
        <x:v>0.9999990343418613</x:v>
      </x:c>
      <x:c r="H31" s="8" t="n">
        <x:f>(B31-1)*C31</x:f>
        <x:v>32</x:v>
      </x:c>
      <x:c r="I31" s="2"/>
      <x:c r="J31" s="2" t="str">
        <x:v>5次</x:v>
      </x:c>
      <x:c r="K31" s="12" t="n">
        <x:f>D19</x:f>
        <x:v>0.015594413281404531</x:v>
      </x:c>
      <x:c r="L31" s="2"/>
      <x:c r="M31" s="2"/>
      <x:c r="N31" s="2"/>
      <x:c r="O31" s="2"/>
      <x:c r="P31" s="2"/>
      <x:c r="Q31" s="2"/>
    </x:row>
    <x:row r="32" ht="22" customHeight="1">
      <x:c r="A32" s="2"/>
      <x:c r="B32" s="8" t="n">
        <x:v>18</x:v>
      </x:c>
      <x:c r="C32" s="8" t="n">
        <x:v>2</x:v>
      </x:c>
      <x:c r="D32" s="12" t="n">
        <x:f>C32/$C$7</x:f>
        <x:v>3.218860462238019e-7</x:v>
      </x:c>
      <x:c r="E32" s="8" t="n">
        <x:f>B32*C32</x:f>
        <x:v>36</x:v>
      </x:c>
      <x:c r="F32" s="12" t="n">
        <x:f>E32/'客户小时分布'!$C$6</x:f>
        <x:v>0.0000029371196939912894</x:v>
      </x:c>
      <x:c r="G32" s="12" t="n">
        <x:f>SUM($C$15:C32)/$C$7</x:f>
        <x:v>0.9999993562279076</x:v>
      </x:c>
      <x:c r="H32" s="8" t="n">
        <x:f>(B32-1)*C32</x:f>
        <x:v>34</x:v>
      </x:c>
      <x:c r="I32" s="2"/>
      <x:c r="J32" s="2" t="str">
        <x:v>6次</x:v>
      </x:c>
      <x:c r="K32" s="12" t="n">
        <x:f>D20</x:f>
        <x:v>0.0064683000988672995</x:v>
      </x:c>
      <x:c r="L32" s="2"/>
      <x:c r="M32" s="2"/>
      <x:c r="N32" s="2"/>
      <x:c r="O32" s="2"/>
      <x:c r="P32" s="2"/>
      <x:c r="Q32" s="2"/>
    </x:row>
    <x:row r="33" ht="22" customHeight="1">
      <x:c r="A33" s="2"/>
      <x:c r="B33" s="8" t="n">
        <x:v>19</x:v>
      </x:c>
      <x:c r="C33" s="8" t="n">
        <x:v>1</x:v>
      </x:c>
      <x:c r="D33" s="12" t="n">
        <x:f>C33/$C$7</x:f>
        <x:v>1.6094302311190096e-7</x:v>
      </x:c>
      <x:c r="E33" s="8" t="n">
        <x:f>B33*C33</x:f>
        <x:v>19</x:v>
      </x:c>
      <x:c r="F33" s="12" t="n">
        <x:f>E33/'客户小时分布'!$C$6</x:f>
        <x:v>0.0000015501465051620694</x:v>
      </x:c>
      <x:c r="G33" s="12" t="n">
        <x:f>SUM($C$15:C33)/$C$7</x:f>
        <x:v>0.9999995171709307</x:v>
      </x:c>
      <x:c r="H33" s="8" t="n">
        <x:f>(B33-1)*C33</x:f>
        <x:v>18</x:v>
      </x:c>
      <x:c r="I33" s="2"/>
      <x:c r="J33" s="2" t="str">
        <x:v>7次</x:v>
      </x:c>
      <x:c r="K33" s="12" t="n">
        <x:f>D21</x:f>
        <x:v>0.0028119964998111332</x:v>
      </x:c>
      <x:c r="L33" s="2"/>
      <x:c r="M33" s="2"/>
      <x:c r="N33" s="2"/>
      <x:c r="O33" s="2"/>
      <x:c r="P33" s="2"/>
      <x:c r="Q33" s="2"/>
    </x:row>
    <x:row r="34" ht="22" customHeight="1">
      <x:c r="A34" s="2"/>
      <x:c r="B34" s="8" t="n">
        <x:v>20</x:v>
      </x:c>
      <x:c r="C34" s="8" t="n">
        <x:v>0</x:v>
      </x:c>
      <x:c r="D34" s="12" t="n">
        <x:f>C34/$C$7</x:f>
        <x:v>0</x:v>
      </x:c>
      <x:c r="E34" s="8" t="n">
        <x:f>B34*C34</x:f>
        <x:v>0</x:v>
      </x:c>
      <x:c r="F34" s="12" t="n">
        <x:f>E34/'客户小时分布'!$C$6</x:f>
        <x:v>0</x:v>
      </x:c>
      <x:c r="G34" s="12" t="n">
        <x:f>SUM($C$15:C34)/$C$7</x:f>
        <x:v>0.9999995171709307</x:v>
      </x:c>
      <x:c r="H34" s="8" t="n">
        <x:f>(B34-1)*C34</x:f>
        <x:v>0</x:v>
      </x:c>
      <x:c r="I34" s="2"/>
      <x:c r="J34" s="2" t="str">
        <x:v>8次</x:v>
      </x:c>
      <x:c r="K34" s="12" t="n">
        <x:f>D22</x:f>
        <x:v>0.0013725221010982913</x:v>
      </x:c>
      <x:c r="L34" s="2"/>
      <x:c r="M34" s="2"/>
      <x:c r="N34" s="2"/>
      <x:c r="O34" s="2"/>
      <x:c r="P34" s="2"/>
      <x:c r="Q34" s="2"/>
    </x:row>
    <x:row r="35" ht="22" customHeight="1">
      <x:c r="A35" s="2"/>
      <x:c r="B35" s="8" t="n">
        <x:v>21</x:v>
      </x:c>
      <x:c r="C35" s="8" t="n">
        <x:v>1</x:v>
      </x:c>
      <x:c r="D35" s="12" t="n">
        <x:f>C35/$C$7</x:f>
        <x:v>1.6094302311190096e-7</x:v>
      </x:c>
      <x:c r="E35" s="8" t="n">
        <x:f>B35*C35</x:f>
        <x:v>21</x:v>
      </x:c>
      <x:c r="F35" s="12" t="n">
        <x:f>E35/'客户小时分布'!$C$6</x:f>
        <x:v>0.0000017133198214949188</x:v>
      </x:c>
      <x:c r="G35" s="12" t="n">
        <x:f>SUM($C$15:C35)/$C$7</x:f>
        <x:v>0.9999996781139537</x:v>
      </x:c>
      <x:c r="H35" s="8" t="n">
        <x:f>(B35-1)*C35</x:f>
        <x:v>20</x:v>
      </x:c>
      <x:c r="I35" s="2"/>
      <x:c r="J35" s="2" t="str">
        <x:v>9次</x:v>
      </x:c>
      <x:c r="K35" s="12" t="n">
        <x:f>D23</x:f>
        <x:v>0.000649887927325856</x:v>
      </x:c>
      <x:c r="L35" s="2"/>
      <x:c r="M35" s="2"/>
      <x:c r="N35" s="2"/>
      <x:c r="O35" s="2"/>
      <x:c r="P35" s="2"/>
      <x:c r="Q35" s="2"/>
    </x:row>
    <x:row r="36" ht="22" customHeight="1">
      <x:c r="A36" s="2"/>
      <x:c r="B36" s="8" t="n">
        <x:v>22</x:v>
      </x:c>
      <x:c r="C36" s="8" t="n">
        <x:v>2</x:v>
      </x:c>
      <x:c r="D36" s="12" t="n">
        <x:f>C36/$C$7</x:f>
        <x:v>3.218860462238019e-7</x:v>
      </x:c>
      <x:c r="E36" s="8" t="n">
        <x:f>B36*C36</x:f>
        <x:v>44</x:v>
      </x:c>
      <x:c r="F36" s="12" t="n">
        <x:f>E36/'客户小时分布'!$C$6</x:f>
        <x:v>0.000003589812959322687</x:v>
      </x:c>
      <x:c r="G36" s="12" t="n">
        <x:f>SUM($C$15:C36)/$C$7</x:f>
        <x:v>1</x:v>
      </x:c>
      <x:c r="H36" s="8" t="n">
        <x:f>(B36-1)*C36</x:f>
        <x:v>42</x:v>
      </x:c>
      <x:c r="I36" s="2"/>
      <x:c r="J36" s="2" t="str">
        <x:v>10次</x:v>
      </x:c>
      <x:c r="K36" s="12" t="n">
        <x:f>D24</x:f>
        <x:v>0.00031528738227621397</x:v>
      </x:c>
      <x:c r="L36" s="2"/>
      <x:c r="M36" s="2"/>
      <x:c r="N36" s="2"/>
      <x:c r="O36" s="2"/>
      <x:c r="P36" s="2"/>
      <x:c r="Q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 t="str">
        <x:v>11次</x:v>
      </x:c>
      <x:c r="K37" s="12" t="n">
        <x:f>D25</x:f>
        <x:v>0.00014822852428606078</x:v>
      </x:c>
      <x:c r="L37" s="2"/>
      <x:c r="M37" s="2"/>
      <x:c r="N37" s="2"/>
      <x:c r="O37" s="2"/>
      <x:c r="P37" s="2"/>
      <x:c r="Q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 t="str">
        <x:v>12次</x:v>
      </x:c>
      <x:c r="K38" s="12" t="n">
        <x:f>D26</x:f>
        <x:v>0.0000672741836607746</x:v>
      </x:c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 t="str">
        <x:v>13次</x:v>
      </x:c>
      <x:c r="K39" s="12" t="n">
        <x:f>D27</x:f>
        <x:v>0.00002880880113703027</x:v>
      </x:c>
      <x:c r="L39" s="2"/>
      <x:c r="M39" s="2"/>
      <x:c r="N39" s="2"/>
      <x:c r="O39" s="2"/>
      <x:c r="P39" s="2"/>
      <x:c r="Q39" s="2"/>
    </x:row>
    <x:row r="40" ht="22" customHeight="1">
      <x:c r="A40" s="2"/>
      <x:c r="B40" s="11" t="str">
        <x:v>“超额记录数”仅表示若每组保留一条会减少多少条，本次未删除数据。</x:v>
      </x:c>
      <x:c r="C40" s="2"/>
      <x:c r="D40" s="2"/>
      <x:c r="E40" s="2"/>
      <x:c r="F40" s="2"/>
      <x:c r="G40" s="2"/>
      <x:c r="H40" s="2"/>
      <x:c r="I40" s="2"/>
      <x:c r="J40" s="2" t="str">
        <x:v>14次</x:v>
      </x:c>
      <x:c r="K40" s="12" t="n">
        <x:f>D28</x:f>
        <x:v>0.000014484872080071086</x:v>
      </x:c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 t="str">
        <x:v>15次</x:v>
      </x:c>
      <x:c r="K41" s="12" t="n">
        <x:f>D29</x:f>
        <x:v>0.000005311119762692732</x:v>
      </x:c>
      <x:c r="L41" s="2"/>
      <x:c r="M41" s="2"/>
      <x:c r="N41" s="2"/>
      <x:c r="O41" s="2"/>
      <x:c r="P41" s="2"/>
      <x:c r="Q41" s="2"/>
    </x:row>
    <x:row r="42" ht="22" customHeight="1">
      <x:c r="A42" s="2"/>
      <x:c r="B42" s="11" t="str">
        <x:v>类目冲突：0 组；本文件的四元组内类目均一致。</x:v>
      </x:c>
      <x:c r="C42" s="2"/>
      <x:c r="D42" s="2"/>
      <x:c r="E42" s="2"/>
      <x:c r="F42" s="2"/>
      <x:c r="G42" s="2"/>
      <x:c r="H42" s="2"/>
      <x:c r="I42" s="2"/>
      <x:c r="J42" s="2" t="str">
        <x:v>16次</x:v>
      </x:c>
      <x:c r="K42" s="12" t="n">
        <x:f>D30</x:f>
        <x:v>0.0000019313162773428113</x:v>
      </x:c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 t="str">
        <x:v>17次</x:v>
      </x:c>
      <x:c r="K43" s="12" t="n">
        <x:f>D31</x:f>
        <x:v>3.218860462238019e-7</x:v>
      </x:c>
      <x:c r="L43" s="2"/>
      <x:c r="M43" s="2"/>
      <x:c r="N43" s="2"/>
      <x:c r="O43" s="2"/>
      <x:c r="P43" s="2"/>
      <x:c r="Q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 t="str">
        <x:v>18次</x:v>
      </x:c>
      <x:c r="K44" s="12" t="n">
        <x:f>D32</x:f>
        <x:v>3.218860462238019e-7</x:v>
      </x:c>
      <x:c r="L44" s="2"/>
      <x:c r="M44" s="2"/>
      <x:c r="N44" s="2"/>
      <x:c r="O44" s="2"/>
      <x:c r="P44" s="2"/>
      <x:c r="Q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 t="str">
        <x:v>19次</x:v>
      </x:c>
      <x:c r="K45" s="12" t="n">
        <x:f>D33</x:f>
        <x:v>1.6094302311190096e-7</x:v>
      </x:c>
      <x:c r="L45" s="2"/>
      <x:c r="M45" s="2"/>
      <x:c r="N45" s="2"/>
      <x:c r="O45" s="2"/>
      <x:c r="P45" s="2"/>
      <x:c r="Q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 t="str">
        <x:v>20次</x:v>
      </x:c>
      <x:c r="K46" s="12" t="n">
        <x:f>D34</x:f>
        <x:v>0</x:v>
      </x:c>
      <x:c r="L46" s="2"/>
      <x:c r="M46" s="2"/>
      <x:c r="N46" s="2"/>
      <x:c r="O46" s="2"/>
      <x:c r="P46" s="2"/>
      <x:c r="Q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 t="str">
        <x:v>21次</x:v>
      </x:c>
      <x:c r="K47" s="12" t="n">
        <x:f>D35</x:f>
        <x:v>1.6094302311190096e-7</x:v>
      </x:c>
      <x:c r="L47" s="2"/>
      <x:c r="M47" s="2"/>
      <x:c r="N47" s="2"/>
      <x:c r="O47" s="2"/>
      <x:c r="P47" s="2"/>
      <x:c r="Q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 t="str">
        <x:v>22次</x:v>
      </x:c>
      <x:c r="K48" s="12" t="n">
        <x:f>D36</x:f>
        <x:v>3.218860462238019e-7</x:v>
      </x:c>
      <x:c r="L48" s="2"/>
      <x:c r="M48" s="2"/>
      <x:c r="N48" s="2"/>
      <x:c r="O48" s="2"/>
      <x:c r="P48" s="2"/>
      <x:c r="Q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</x:sheetData>
  <x:pageMargins left="0.7" right="0.7" top="0.75" bottom="0.75" header="0.3" footer="0.3"/>
  <x:drawing xmlns:r="http://schemas.openxmlformats.org/officeDocument/2006/relationships" r:id="Rdec86b57d4914946"/>
  <x:tableParts count="2">
    <x:tablePart xmlns:r="http://schemas.openxmlformats.org/officeDocument/2006/relationships" r:id="R34dcc09f1cdd4f96"/>
    <x:tablePart xmlns:r="http://schemas.openxmlformats.org/officeDocument/2006/relationships" r:id="R8a6dac81c2eb49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3" t="str">
        <x:v>按行为类型观察现有去重口径的影响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2"/>
      <x:c r="B4" s="11" t="str">
        <x:v>仅测算逐四元组保留一条的影响，尚未将任何方案应用到源数据。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9" customHeight="1">
      <x:c r="A6" s="2"/>
      <x:c r="B6" s="7" t="str">
        <x:v>行为</x:v>
      </x:c>
      <x:c r="C6" s="7" t="str">
        <x:v>原始记录数</x:v>
      </x:c>
      <x:c r="D6" s="7" t="str">
        <x:v>四元组数</x:v>
      </x:c>
      <x:c r="E6" s="7" t="str">
        <x:v>超额记录数</x:v>
      </x:c>
      <x:c r="F6" s="7" t="str">
        <x:v>超额占本行为比例</x:v>
      </x:c>
      <x:c r="G6" s="7" t="str">
        <x:v>重复组数</x:v>
      </x:c>
      <x:c r="H6" s="7" t="str">
        <x:v>重复组占比</x:v>
      </x:c>
      <x:c r="I6" s="7" t="str">
        <x:v>组最大出现次数</x:v>
      </x:c>
      <x:c r="J6" s="7" t="str">
        <x:v>占全部超额记录比例</x:v>
      </x:c>
      <x:c r="K6" s="2"/>
      <x:c r="L6" s="2"/>
    </x:row>
    <x:row r="7" ht="22" customHeight="1">
      <x:c r="A7" s="2"/>
      <x:c r="B7" s="2" t="str">
        <x:v>浏览</x:v>
      </x:c>
      <x:c r="C7" s="8" t="n">
        <x:v>11550581</x:v>
      </x:c>
      <x:c r="D7" s="8" t="n">
        <x:v>5535879</x:v>
      </x:c>
      <x:c r="E7" s="8" t="n">
        <x:f>C7-D7</x:f>
        <x:v>6014702</x:v>
      </x:c>
      <x:c r="F7" s="9" t="n">
        <x:f>E7/C7</x:f>
        <x:v>0.520727225756003</x:v>
      </x:c>
      <x:c r="G7" s="8" t="n">
        <x:v>3820761</x:v>
      </x:c>
      <x:c r="H7" s="9" t="n">
        <x:f>G7/D7</x:f>
        <x:v>0.6901814508590235</x:v>
      </x:c>
      <x:c r="I7" s="8" t="n">
        <x:v>19</x:v>
      </x:c>
      <x:c r="J7" s="9" t="n">
        <x:f>E7/'同项行为重复'!$C$9</x:f>
        <x:v>0.9952304341488009</x:v>
      </x:c>
      <x:c r="K7" s="2"/>
      <x:c r="L7" s="2"/>
    </x:row>
    <x:row r="8" ht="22" customHeight="1">
      <x:c r="A8" s="2"/>
      <x:c r="B8" s="2" t="str">
        <x:v>收藏</x:v>
      </x:c>
      <x:c r="C8" s="8" t="n">
        <x:v>242556</x:v>
      </x:c>
      <x:c r="D8" s="8" t="n">
        <x:v>239472</x:v>
      </x:c>
      <x:c r="E8" s="8" t="n">
        <x:f>C8-D8</x:f>
        <x:v>3084</x:v>
      </x:c>
      <x:c r="F8" s="9" t="n">
        <x:f>E8/C8</x:f>
        <x:v>0.012714589620541237</x:v>
      </x:c>
      <x:c r="G8" s="8" t="n">
        <x:v>3061</x:v>
      </x:c>
      <x:c r="H8" s="9" t="n">
        <x:f>G8/D8</x:f>
        <x:v>0.0127822876996058</x:v>
      </x:c>
      <x:c r="I8" s="8" t="n">
        <x:v>4</x:v>
      </x:c>
      <x:c r="J8" s="9" t="n">
        <x:f>E8/'同项行为重复'!$C$9</x:f>
        <x:v>0.000510298042848158</x:v>
      </x:c>
      <x:c r="K8" s="2"/>
      <x:c r="L8" s="2"/>
    </x:row>
    <x:row r="9" ht="22" customHeight="1">
      <x:c r="A9" s="2"/>
      <x:c r="B9" s="2" t="str">
        <x:v>加购</x:v>
      </x:c>
      <x:c r="C9" s="8" t="n">
        <x:v>343564</x:v>
      </x:c>
      <x:c r="D9" s="8" t="n">
        <x:v>331350</x:v>
      </x:c>
      <x:c r="E9" s="8" t="n">
        <x:f>C9-D9</x:f>
        <x:v>12214</x:v>
      </x:c>
      <x:c r="F9" s="9" t="n">
        <x:f>E9/C9</x:f>
        <x:v>0.03555087261762001</x:v>
      </x:c>
      <x:c r="G9" s="8" t="n">
        <x:v>10841</x:v>
      </x:c>
      <x:c r="H9" s="9" t="n">
        <x:f>G9/D9</x:f>
        <x:v>0.03271767013731704</x:v>
      </x:c>
      <x:c r="I9" s="8" t="n">
        <x:v>10</x:v>
      </x:c>
      <x:c r="J9" s="9" t="n">
        <x:f>E9/'同项行为重复'!$C$9</x:f>
        <x:v>0.002021005283835085</x:v>
      </x:c>
      <x:c r="K9" s="2"/>
      <x:c r="L9" s="2"/>
    </x:row>
    <x:row r="10" ht="22" customHeight="1">
      <x:c r="A10" s="2"/>
      <x:c r="B10" s="2" t="str">
        <x:v>购买</x:v>
      </x:c>
      <x:c r="C10" s="8" t="n">
        <x:v>120205</x:v>
      </x:c>
      <x:c r="D10" s="8" t="n">
        <x:v>106678</x:v>
      </x:c>
      <x:c r="E10" s="8" t="n">
        <x:f>C10-D10</x:f>
        <x:v>13527</x:v>
      </x:c>
      <x:c r="F10" s="9" t="n">
        <x:f>E10/C10</x:f>
        <x:v>0.11253275654090927</x:v>
      </x:c>
      <x:c r="G10" s="8" t="n">
        <x:v>8534</x:v>
      </x:c>
      <x:c r="H10" s="9" t="n">
        <x:f>G10/D10</x:f>
        <x:v>0.0799977502390371</x:v>
      </x:c>
      <x:c r="I10" s="8" t="n">
        <x:v>22</x:v>
      </x:c>
      <x:c r="J10" s="9" t="n">
        <x:f>E10/'同项行为重复'!$C$9</x:f>
        <x:v>0.0022382625245158994</x:v>
      </x:c>
      <x:c r="K10" s="2"/>
      <x:c r="L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11" t="str">
        <x:v>浏览占全部超额记录的 99.52%；购买会减少 13,527 条，需单独确认业务含义。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11" t="str">
        <x:v>建议保留原始次数、四元组次数和组内出现次数，再比较分析结果对口径的敏感性。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9" customHeight="1">
      <x:c r="A18" s="2"/>
      <x:c r="B18" s="7" t="str">
        <x:v>客户小时构成</x:v>
      </x:c>
      <x:c r="C18" s="7" t="str">
        <x:v>客户小时数</x:v>
      </x:c>
      <x:c r="D18" s="7" t="str">
        <x:v>小时占比</x:v>
      </x:c>
      <x:c r="E18" s="7" t="str">
        <x:v>原始记录数</x:v>
      </x:c>
      <x:c r="F18" s="7" t="str">
        <x:v>四元组超额记录</x:v>
      </x:c>
      <x:c r="G18" s="2"/>
      <x:c r="H18" s="2"/>
      <x:c r="I18" s="2"/>
      <x:c r="J18" s="2"/>
      <x:c r="K18" s="2"/>
      <x:c r="L18" s="2"/>
    </x:row>
    <x:row r="19" ht="22" customHeight="1">
      <x:c r="A19" s="2"/>
      <x:c r="B19" s="2" t="str">
        <x:v>只有一条记录</x:v>
      </x:c>
      <x:c r="C19" s="8" t="n">
        <x:v>50564</x:v>
      </x:c>
      <x:c r="D19" s="9" t="n">
        <x:f>C19/'客户小时分布'!$C$8</x:f>
        <x:v>0.0740387149676399</x:v>
      </x:c>
      <x:c r="E19" s="8" t="n">
        <x:v>50564</x:v>
      </x:c>
      <x:c r="F19" s="8" t="n">
        <x:v>0</x:v>
      </x:c>
      <x:c r="G19" s="2"/>
      <x:c r="H19" s="2"/>
      <x:c r="I19" s="2"/>
      <x:c r="J19" s="2"/>
      <x:c r="K19" s="2"/>
      <x:c r="L19" s="2"/>
    </x:row>
    <x:row r="20" ht="22" customHeight="1">
      <x:c r="A20" s="2"/>
      <x:c r="B20" s="2" t="str">
        <x:v>多条记录但只有一种四元组</x:v>
      </x:c>
      <x:c r="C20" s="8" t="n">
        <x:v>100433</x:v>
      </x:c>
      <x:c r="D20" s="9" t="n">
        <x:f>C20/'客户小时分布'!$C$8</x:f>
        <x:v>0.1470597709901309</x:v>
      </x:c>
      <x:c r="E20" s="8" t="n">
        <x:v>262154</x:v>
      </x:c>
      <x:c r="F20" s="8" t="n">
        <x:v>161721</x:v>
      </x:c>
      <x:c r="G20" s="2"/>
      <x:c r="H20" s="2"/>
      <x:c r="I20" s="2"/>
      <x:c r="J20" s="2"/>
      <x:c r="K20" s="2"/>
      <x:c r="L20" s="2"/>
    </x:row>
    <x:row r="21" ht="22" customHeight="1">
      <x:c r="A21" s="2"/>
      <x:c r="B21" s="2" t="str">
        <x:v>多种四元组且均不重复</x:v>
      </x:c>
      <x:c r="C21" s="8" t="n">
        <x:v>27641</x:v>
      </x:c>
      <x:c r="D21" s="9" t="n">
        <x:f>C21/'客户小时分布'!$C$8</x:f>
        <x:v>0.040473540867426126</x:v>
      </x:c>
      <x:c r="E21" s="8" t="n">
        <x:v>105150</x:v>
      </x:c>
      <x:c r="F21" s="8" t="n">
        <x:v>0</x:v>
      </x:c>
      <x:c r="G21" s="2"/>
      <x:c r="H21" s="2"/>
      <x:c r="I21" s="2"/>
      <x:c r="J21" s="2"/>
      <x:c r="K21" s="2"/>
      <x:c r="L21" s="2"/>
    </x:row>
    <x:row r="22" ht="22" customHeight="1">
      <x:c r="A22" s="2"/>
      <x:c r="B22" s="2" t="str">
        <x:v>多种四元组并含重复出现</x:v>
      </x:c>
      <x:c r="C22" s="8" t="n">
        <x:v>504302</x:v>
      </x:c>
      <x:c r="D22" s="9" t="n">
        <x:f>C22/'客户小时分布'!$C$8</x:f>
        <x:v>0.738427973174803</x:v>
      </x:c>
      <x:c r="E22" s="8" t="n">
        <x:v>11839038</x:v>
      </x:c>
      <x:c r="F22" s="8" t="n">
        <x:v>5881806</x:v>
      </x:c>
      <x:c r="G22" s="2"/>
      <x:c r="H22" s="2"/>
      <x:c r="I22" s="2"/>
      <x:c r="J22" s="2"/>
      <x:c r="K22" s="2"/>
      <x:c r="L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9" customHeight="1">
      <x:c r="A26" s="2"/>
      <x:c r="B26" s="7" t="str">
        <x:v>每小时记录数高于</x:v>
      </x:c>
      <x:c r="C26" s="7" t="str">
        <x:v>客户小时数</x:v>
      </x:c>
      <x:c r="D26" s="7" t="str">
        <x:v>小时占比</x:v>
      </x:c>
      <x:c r="E26" s="7" t="str">
        <x:v>对应记录数</x:v>
      </x:c>
      <x:c r="F26" s="7" t="str">
        <x:v>这些时段内超额记录</x:v>
      </x:c>
      <x:c r="G26" s="2"/>
      <x:c r="H26" s="2"/>
      <x:c r="I26" s="2"/>
      <x:c r="J26" s="2"/>
      <x:c r="K26" s="2"/>
      <x:c r="L26" s="2"/>
    </x:row>
    <x:row r="27" ht="22" customHeight="1">
      <x:c r="A27" s="2"/>
      <x:c r="B27" s="8" t="n">
        <x:v>1</x:v>
      </x:c>
      <x:c r="C27" s="8" t="n">
        <x:v>632376</x:v>
      </x:c>
      <x:c r="D27" s="12" t="n">
        <x:f>C27/'客户小时分布'!$C$8</x:f>
        <x:v>0.9259612850323601</x:v>
      </x:c>
      <x:c r="E27" s="8" t="n">
        <x:v>12206342</x:v>
      </x:c>
      <x:c r="F27" s="8" t="n">
        <x:v>6043527</x:v>
      </x:c>
      <x:c r="G27" s="2"/>
      <x:c r="H27" s="2"/>
      <x:c r="I27" s="2"/>
      <x:c r="J27" s="2"/>
      <x:c r="K27" s="2"/>
      <x:c r="L27" s="2"/>
    </x:row>
    <x:row r="28" ht="22" customHeight="1">
      <x:c r="A28" s="2"/>
      <x:c r="B28" s="8" t="n">
        <x:v>2</x:v>
      </x:c>
      <x:c r="C28" s="8" t="n">
        <x:v>555535</x:v>
      </x:c>
      <x:c r="D28" s="12" t="n">
        <x:f>C28/'客户小时分布'!$C$8</x:f>
        <x:v>0.813446276393241</x:v>
      </x:c>
      <x:c r="E28" s="8" t="n">
        <x:v>12052660</x:v>
      </x:c>
      <x:c r="F28" s="8" t="n">
        <x:v>5980200</x:v>
      </x:c>
      <x:c r="G28" s="2"/>
      <x:c r="H28" s="2"/>
      <x:c r="I28" s="2"/>
      <x:c r="J28" s="2"/>
      <x:c r="K28" s="2"/>
      <x:c r="L28" s="2"/>
    </x:row>
    <x:row r="29" ht="22" customHeight="1">
      <x:c r="A29" s="2"/>
      <x:c r="B29" s="8" t="n">
        <x:v>3</x:v>
      </x:c>
      <x:c r="C29" s="8" t="n">
        <x:v>511429</x:v>
      </x:c>
      <x:c r="D29" s="12" t="n">
        <x:f>C29/'客户小时分布'!$C$8</x:f>
        <x:v>0.7488637361993733</x:v>
      </x:c>
      <x:c r="E29" s="8" t="n">
        <x:v>11920342</x:v>
      </x:c>
      <x:c r="F29" s="8" t="n">
        <x:v>5921047</x:v>
      </x:c>
      <x:c r="G29" s="2"/>
      <x:c r="H29" s="2"/>
      <x:c r="I29" s="2"/>
      <x:c r="J29" s="2"/>
      <x:c r="K29" s="2"/>
      <x:c r="L29" s="2"/>
    </x:row>
    <x:row r="30" ht="22" customHeight="1">
      <x:c r="A30" s="2"/>
      <x:c r="B30" s="8" t="n">
        <x:v>5</x:v>
      </x:c>
      <x:c r="C30" s="8" t="n">
        <x:v>431274</x:v>
      </x:c>
      <x:c r="D30" s="12" t="n">
        <x:f>C30/'客户小时分布'!$C$8</x:f>
        <x:v>0.6314961782879902</x:v>
      </x:c>
      <x:c r="E30" s="8" t="n">
        <x:v>11567744</x:v>
      </x:c>
      <x:c r="F30" s="8" t="n">
        <x:v>5748048</x:v>
      </x:c>
      <x:c r="G30" s="2"/>
      <x:c r="H30" s="2"/>
      <x:c r="I30" s="2"/>
      <x:c r="J30" s="2"/>
      <x:c r="K30" s="2"/>
      <x:c r="L30" s="2"/>
    </x:row>
    <x:row r="31" ht="22" customHeight="1">
      <x:c r="A31" s="2"/>
      <x:c r="B31" s="8" t="n">
        <x:v>10</x:v>
      </x:c>
      <x:c r="C31" s="8" t="n">
        <x:v>309601</x:v>
      </x:c>
      <x:c r="D31" s="12" t="n">
        <x:f>C31/'客户小时分布'!$C$8</x:f>
        <x:v>0.4533355785281284</x:v>
      </x:c>
      <x:c r="E31" s="8" t="n">
        <x:v>10624280</x:v>
      </x:c>
      <x:c r="F31" s="8" t="n">
        <x:v>5280507</x:v>
      </x:c>
      <x:c r="G31" s="2"/>
      <x:c r="H31" s="2"/>
      <x:c r="I31" s="2"/>
      <x:c r="J31" s="2"/>
      <x:c r="K31" s="2"/>
      <x:c r="L31" s="2"/>
    </x:row>
    <x:row r="32" ht="22" customHeight="1">
      <x:c r="A32" s="2"/>
      <x:c r="B32" s="8" t="n">
        <x:v>20</x:v>
      </x:c>
      <x:c r="C32" s="8" t="n">
        <x:v>185448</x:v>
      </x:c>
      <x:c r="D32" s="12" t="n">
        <x:f>C32/'客户小时分布'!$C$8</x:f>
        <x:v>0.27154362023018125</x:v>
      </x:c>
      <x:c r="E32" s="8" t="n">
        <x:v>8775127</x:v>
      </x:c>
      <x:c r="F32" s="8" t="n">
        <x:v>4358230</x:v>
      </x:c>
      <x:c r="G32" s="2"/>
      <x:c r="H32" s="2"/>
      <x:c r="I32" s="2"/>
      <x:c r="J32" s="2"/>
      <x:c r="K32" s="2"/>
      <x:c r="L32" s="2"/>
    </x:row>
    <x:row r="33" ht="22" customHeight="1">
      <x:c r="A33" s="2"/>
      <x:c r="B33" s="8" t="n">
        <x:v>50</x:v>
      </x:c>
      <x:c r="C33" s="8" t="n">
        <x:v>56417</x:v>
      </x:c>
      <x:c r="D33" s="12" t="n">
        <x:f>C33/'客户小时分布'!$C$8</x:f>
        <x:v>0.0826090139690163</x:v>
      </x:c>
      <x:c r="E33" s="8" t="n">
        <x:v>4650610</x:v>
      </x:c>
      <x:c r="F33" s="8" t="n">
        <x:v>2300443</x:v>
      </x:c>
      <x:c r="G33" s="2"/>
      <x:c r="H33" s="2"/>
      <x:c r="I33" s="2"/>
      <x:c r="J33" s="2"/>
      <x:c r="K33" s="2"/>
      <x:c r="L33" s="2"/>
    </x:row>
    <x:row r="34" ht="22" customHeight="1">
      <x:c r="A34" s="2"/>
      <x:c r="B34" s="8" t="n">
        <x:v>100</x:v>
      </x:c>
      <x:c r="C34" s="8" t="n">
        <x:v>11474</x:v>
      </x:c>
      <x:c r="D34" s="12" t="n">
        <x:f>C34/'客户小时分布'!$C$8</x:f>
        <x:v>0.01680089026854482</x:v>
      </x:c>
      <x:c r="E34" s="8" t="n">
        <x:v>1579253</x:v>
      </x:c>
      <x:c r="F34" s="8" t="n">
        <x:v>781848</x:v>
      </x:c>
      <x:c r="G34" s="2"/>
      <x:c r="H34" s="2"/>
      <x:c r="I34" s="2"/>
      <x:c r="J34" s="2"/>
      <x:c r="K34" s="2"/>
      <x:c r="L34" s="2"/>
    </x:row>
    <x:row r="35" ht="22" customHeight="1">
      <x:c r="A35" s="2"/>
      <x:c r="B35" s="8" t="n">
        <x:v>200</x:v>
      </x:c>
      <x:c r="C35" s="8" t="n">
        <x:v>780</x:v>
      </x:c>
      <x:c r="D35" s="12" t="n">
        <x:f>C35/'客户小时分布'!$C$8</x:f>
        <x:v>0.0011421208305268397</x:v>
      </x:c>
      <x:c r="E35" s="8" t="n">
        <x:v>197725</x:v>
      </x:c>
      <x:c r="F35" s="8" t="n">
        <x:v>99689</x:v>
      </x:c>
      <x:c r="G35" s="2"/>
      <x:c r="H35" s="2"/>
      <x:c r="I35" s="2"/>
      <x:c r="J35" s="2"/>
      <x:c r="K35" s="2"/>
      <x:c r="L35" s="2"/>
    </x:row>
    <x:row r="36" ht="22" customHeight="1">
      <x:c r="A36" s="2"/>
      <x:c r="B36" s="8" t="n">
        <x:v>500</x:v>
      </x:c>
      <x:c r="C36" s="8" t="n">
        <x:v>9</x:v>
      </x:c>
      <x:c r="D36" s="12" t="n">
        <x:f>C36/'客户小时分布'!$C$8</x:f>
        <x:v>0.000013178317275309691</x:v>
      </x:c>
      <x:c r="E36" s="8" t="n">
        <x:v>5347</x:v>
      </x:c>
      <x:c r="F36" s="8" t="n">
        <x:v>2841</x:v>
      </x:c>
      <x:c r="G36" s="2"/>
      <x:c r="H36" s="2"/>
      <x:c r="I36" s="2"/>
      <x:c r="J36" s="2"/>
      <x:c r="K36" s="2"/>
      <x:c r="L36" s="2"/>
    </x:row>
    <x:row r="37" ht="22" customHeight="1">
      <x:c r="A37" s="2"/>
      <x:c r="B37" s="8" t="n">
        <x:v>1000</x:v>
      </x:c>
      <x:c r="C37" s="8" t="n">
        <x:v>0</x:v>
      </x:c>
      <x:c r="D37" s="12" t="n">
        <x:f>C37/'客户小时分布'!$C$8</x:f>
        <x:v>0</x:v>
      </x:c>
      <x:c r="E37" s="8" t="n">
        <x:v>0</x:v>
      </x:c>
      <x:c r="F37" s="8" t="n">
        <x:v>0</x:v>
      </x:c>
      <x:c r="G37" s="2"/>
      <x:c r="H37" s="2"/>
      <x:c r="I37" s="2"/>
      <x:c r="J37" s="2"/>
      <x:c r="K37" s="2"/>
      <x:c r="L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11" t="str">
        <x:v>下面列出每种行为的组内出现次数频数；零表示该出现次数下没有对应分组。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9" customHeight="1">
      <x:c r="A43" s="2"/>
      <x:c r="B43" s="7" t="str">
        <x:v>组内出现次数</x:v>
      </x:c>
      <x:c r="C43" s="7" t="str">
        <x:v>浏览组数</x:v>
      </x:c>
      <x:c r="D43" s="7" t="str">
        <x:v>浏览组内占比</x:v>
      </x:c>
      <x:c r="E43" s="7" t="str">
        <x:v>收藏组数</x:v>
      </x:c>
      <x:c r="F43" s="7" t="str">
        <x:v>收藏组内占比</x:v>
      </x:c>
      <x:c r="G43" s="7" t="str">
        <x:v>加购组数</x:v>
      </x:c>
      <x:c r="H43" s="7" t="str">
        <x:v>加购组内占比</x:v>
      </x:c>
      <x:c r="I43" s="7" t="str">
        <x:v>购买组数</x:v>
      </x:c>
      <x:c r="J43" s="7" t="str">
        <x:v>购买组内占比</x:v>
      </x:c>
      <x:c r="K43" s="2"/>
      <x:c r="L43" s="2"/>
    </x:row>
    <x:row r="44" ht="22" customHeight="1">
      <x:c r="A44" s="2"/>
      <x:c r="B44" s="8" t="n">
        <x:v>1</x:v>
      </x:c>
      <x:c r="C44" s="8" t="n">
        <x:v>1715118</x:v>
      </x:c>
      <x:c r="D44" s="12" t="n">
        <x:f>C44/$D$7</x:f>
        <x:v>0.3098185491409765</x:v>
      </x:c>
      <x:c r="E44" s="8" t="n">
        <x:v>236411</x:v>
      </x:c>
      <x:c r="F44" s="12" t="n">
        <x:f>E44/$D$8</x:f>
        <x:v>0.9872177123003942</x:v>
      </x:c>
      <x:c r="G44" s="8" t="n">
        <x:v>320509</x:v>
      </x:c>
      <x:c r="H44" s="12" t="n">
        <x:f>G44/$D$9</x:f>
        <x:v>0.9672823298626829</x:v>
      </x:c>
      <x:c r="I44" s="8" t="n">
        <x:v>98144</x:v>
      </x:c>
      <x:c r="J44" s="12" t="n">
        <x:f>I44/$D$10</x:f>
        <x:v>0.9200022497609629</x:v>
      </x:c>
      <x:c r="K44" s="2"/>
      <x:c r="L44" s="2"/>
    </x:row>
    <x:row r="45" ht="22" customHeight="1">
      <x:c r="A45" s="2"/>
      <x:c r="B45" s="8" t="n">
        <x:v>2</x:v>
      </x:c>
      <x:c r="C45" s="8" t="n">
        <x:v>2424723</x:v>
      </x:c>
      <x:c r="D45" s="12" t="n">
        <x:f>C45/$D$7</x:f>
        <x:v>0.43800144475701147</x:v>
      </x:c>
      <x:c r="E45" s="8" t="n">
        <x:v>3039</x:v>
      </x:c>
      <x:c r="F45" s="12" t="n">
        <x:f>E45/$D$8</x:f>
        <x:v>0.01269041892162758</x:v>
      </x:c>
      <x:c r="G45" s="8" t="n">
        <x:v>9786</x:v>
      </x:c>
      <x:c r="H45" s="12" t="n">
        <x:f>G45/$D$9</x:f>
        <x:v>0.02953372566772295</x:v>
      </x:c>
      <x:c r="I45" s="8" t="n">
        <x:v>6042</x:v>
      </x:c>
      <x:c r="J45" s="12" t="n">
        <x:f>I45/$D$10</x:f>
        <x:v>0.0566377322409494</x:v>
      </x:c>
      <x:c r="K45" s="2"/>
      <x:c r="L45" s="2"/>
    </x:row>
    <x:row r="46" ht="22" customHeight="1">
      <x:c r="A46" s="2"/>
      <x:c r="B46" s="8" t="n">
        <x:v>3</x:v>
      </x:c>
      <x:c r="C46" s="8" t="n">
        <x:v>905341</x:v>
      </x:c>
      <x:c r="D46" s="12" t="n">
        <x:f>C46/$D$7</x:f>
        <x:v>0.16354060484342234</x:v>
      </x:c>
      <x:c r="E46" s="8" t="n">
        <x:v>21</x:v>
      </x:c>
      <x:c r="F46" s="12" t="n">
        <x:f>E46/$D$8</x:f>
        <x:v>0.00008769292443375426</x:v>
      </x:c>
      <x:c r="G46" s="8" t="n">
        <x:v>823</x:v>
      </x:c>
      <x:c r="H46" s="12" t="n">
        <x:f>G46/$D$9</x:f>
        <x:v>0.002483778481967708</x:v>
      </x:c>
      <x:c r="I46" s="8" t="n">
        <x:v>1376</x:v>
      </x:c>
      <x:c r="J46" s="12" t="n">
        <x:f>I46/$D$10</x:f>
        <x:v>0.012898629520613434</x:v>
      </x:c>
      <x:c r="K46" s="2"/>
      <x:c r="L46" s="2"/>
    </x:row>
    <x:row r="47" ht="22" customHeight="1">
      <x:c r="A47" s="2"/>
      <x:c r="B47" s="8" t="n">
        <x:v>4</x:v>
      </x:c>
      <x:c r="C47" s="8" t="n">
        <x:v>320557</x:v>
      </x:c>
      <x:c r="D47" s="12" t="n">
        <x:f>C47/$D$7</x:f>
        <x:v>0.057905348003451665</x:v>
      </x:c>
      <x:c r="E47" s="8" t="n">
        <x:v>1</x:v>
      </x:c>
      <x:c r="F47" s="12" t="n">
        <x:f>E47/$D$8</x:f>
        <x:v>0.0000041758535444644885</x:v>
      </x:c>
      <x:c r="G47" s="8" t="n">
        <x:v>175</x:v>
      </x:c>
      <x:c r="H47" s="12" t="n">
        <x:f>G47/$D$9</x:f>
        <x:v>0.0005281424475629999</x:v>
      </x:c>
      <x:c r="I47" s="8" t="n">
        <x:v>571</x:v>
      </x:c>
      <x:c r="J47" s="12" t="n">
        <x:f>I47/$D$10</x:f>
        <x:v>0.005352556290894092</x:v>
      </x:c>
      <x:c r="K47" s="2"/>
      <x:c r="L47" s="2"/>
    </x:row>
    <x:row r="48" ht="22" customHeight="1">
      <x:c r="A48" s="2"/>
      <x:c r="B48" s="8" t="n">
        <x:v>5</x:v>
      </x:c>
      <x:c r="C48" s="8" t="n">
        <x:v>96624</x:v>
      </x:c>
      <x:c r="D48" s="12" t="n">
        <x:f>C48/$D$7</x:f>
        <x:v>0.017454138719433715</x:v>
      </x:c>
      <x:c r="E48" s="8" t="n">
        <x:v>0</x:v>
      </x:c>
      <x:c r="F48" s="12" t="n">
        <x:f>E48/$D$8</x:f>
        <x:v>0</x:v>
      </x:c>
      <x:c r="G48" s="8" t="n">
        <x:v>38</x:v>
      </x:c>
      <x:c r="H48" s="12" t="n">
        <x:f>G48/$D$9</x:f>
        <x:v>0.0001146823600422514</x:v>
      </x:c>
      <x:c r="I48" s="8" t="n">
        <x:v>232</x:v>
      </x:c>
      <x:c r="J48" s="12" t="n">
        <x:f>I48/$D$10</x:f>
        <x:v>0.0021747689308011025</x:v>
      </x:c>
      <x:c r="K48" s="2"/>
      <x:c r="L48" s="2"/>
    </x:row>
    <x:row r="49" ht="22" customHeight="1">
      <x:c r="A49" s="2"/>
      <x:c r="B49" s="8" t="n">
        <x:v>6</x:v>
      </x:c>
      <x:c r="C49" s="8" t="n">
        <x:v>40030</x:v>
      </x:c>
      <x:c r="D49" s="12" t="n">
        <x:f>C49/$D$7</x:f>
        <x:v>0.007231010648896047</x:v>
      </x:c>
      <x:c r="E49" s="8" t="n">
        <x:v>0</x:v>
      </x:c>
      <x:c r="F49" s="12" t="n">
        <x:f>E49/$D$8</x:f>
        <x:v>0</x:v>
      </x:c>
      <x:c r="G49" s="8" t="n">
        <x:v>14</x:v>
      </x:c>
      <x:c r="H49" s="12" t="n">
        <x:f>G49/$D$9</x:f>
        <x:v>0.00004225139580503999</x:v>
      </x:c>
      <x:c r="I49" s="8" t="n">
        <x:v>146</x:v>
      </x:c>
      <x:c r="J49" s="12" t="n">
        <x:f>I49/$D$10</x:f>
        <x:v>0.0013686045857627628</x:v>
      </x:c>
      <x:c r="K49" s="2"/>
      <x:c r="L49" s="2"/>
    </x:row>
    <x:row r="50" ht="22" customHeight="1">
      <x:c r="A50" s="2"/>
      <x:c r="B50" s="8" t="n">
        <x:v>7</x:v>
      </x:c>
      <x:c r="C50" s="8" t="n">
        <x:v>17419</x:v>
      </x:c>
      <x:c r="D50" s="12" t="n">
        <x:f>C50/$D$7</x:f>
        <x:v>0.003146564438998757</x:v>
      </x:c>
      <x:c r="E50" s="8" t="n">
        <x:v>0</x:v>
      </x:c>
      <x:c r="F50" s="12" t="n">
        <x:f>E50/$D$8</x:f>
        <x:v>0</x:v>
      </x:c>
      <x:c r="G50" s="8" t="n">
        <x:v>2</x:v>
      </x:c>
      <x:c r="H50" s="12" t="n">
        <x:f>G50/$D$9</x:f>
        <x:v>0.000006035913686434284</x:v>
      </x:c>
      <x:c r="I50" s="8" t="n">
        <x:v>51</x:v>
      </x:c>
      <x:c r="J50" s="12" t="n">
        <x:f>I50/$D$10</x:f>
        <x:v>0.0004780742046157596</x:v>
      </x:c>
      <x:c r="K50" s="2"/>
      <x:c r="L50" s="2"/>
    </x:row>
    <x:row r="51" ht="22" customHeight="1">
      <x:c r="A51" s="2"/>
      <x:c r="B51" s="8" t="n">
        <x:v>8</x:v>
      </x:c>
      <x:c r="C51" s="8" t="n">
        <x:v>8482</x:v>
      </x:c>
      <x:c r="D51" s="12" t="n">
        <x:f>C51/$D$7</x:f>
        <x:v>0.0015321866680973338</x:v>
      </x:c>
      <x:c r="E51" s="8" t="n">
        <x:v>0</x:v>
      </x:c>
      <x:c r="F51" s="12" t="n">
        <x:f>E51/$D$8</x:f>
        <x:v>0</x:v>
      </x:c>
      <x:c r="G51" s="8" t="n">
        <x:v>2</x:v>
      </x:c>
      <x:c r="H51" s="12" t="n">
        <x:f>G51/$D$9</x:f>
        <x:v>0.000006035913686434284</x:v>
      </x:c>
      <x:c r="I51" s="8" t="n">
        <x:v>44</x:v>
      </x:c>
      <x:c r="J51" s="12" t="n">
        <x:f>I51/$D$10</x:f>
        <x:v>0.00041245617653124357</x:v>
      </x:c>
      <x:c r="K51" s="2"/>
      <x:c r="L51" s="2"/>
    </x:row>
    <x:row r="52" ht="22" customHeight="1">
      <x:c r="A52" s="2"/>
      <x:c r="B52" s="8" t="n">
        <x:v>9</x:v>
      </x:c>
      <x:c r="C52" s="8" t="n">
        <x:v>4019</x:v>
      </x:c>
      <x:c r="D52" s="12" t="n">
        <x:f>C52/$D$7</x:f>
        <x:v>0.0007259913014717265</x:v>
      </x:c>
      <x:c r="E52" s="8" t="n">
        <x:v>0</x:v>
      </x:c>
      <x:c r="F52" s="12" t="n">
        <x:f>E52/$D$8</x:f>
        <x:v>0</x:v>
      </x:c>
      <x:c r="G52" s="8" t="n">
        <x:v>0</x:v>
      </x:c>
      <x:c r="H52" s="12" t="n">
        <x:f>G52/$D$9</x:f>
        <x:v>0</x:v>
      </x:c>
      <x:c r="I52" s="8" t="n">
        <x:v>19</x:v>
      </x:c>
      <x:c r="J52" s="12" t="n">
        <x:f>I52/$D$10</x:f>
        <x:v>0.00017810607622940062</x:v>
      </x:c>
      <x:c r="K52" s="2"/>
      <x:c r="L52" s="2"/>
    </x:row>
    <x:row r="53" ht="22" customHeight="1">
      <x:c r="A53" s="2"/>
      <x:c r="B53" s="8" t="n">
        <x:v>10</x:v>
      </x:c>
      <x:c r="C53" s="8" t="n">
        <x:v>1939</x:v>
      </x:c>
      <x:c r="D53" s="12" t="n">
        <x:f>C53/$D$7</x:f>
        <x:v>0.000350260545795889</x:v>
      </x:c>
      <x:c r="E53" s="8" t="n">
        <x:v>0</x:v>
      </x:c>
      <x:c r="F53" s="12" t="n">
        <x:f>E53/$D$8</x:f>
        <x:v>0</x:v>
      </x:c>
      <x:c r="G53" s="8" t="n">
        <x:v>1</x:v>
      </x:c>
      <x:c r="H53" s="12" t="n">
        <x:f>G53/$D$9</x:f>
        <x:v>0.000003017956843217142</x:v>
      </x:c>
      <x:c r="I53" s="8" t="n">
        <x:v>19</x:v>
      </x:c>
      <x:c r="J53" s="12" t="n">
        <x:f>I53/$D$10</x:f>
        <x:v>0.00017810607622940062</x:v>
      </x:c>
      <x:c r="K53" s="2"/>
      <x:c r="L53" s="2"/>
    </x:row>
    <x:row r="54" ht="22" customHeight="1">
      <x:c r="A54" s="2"/>
      <x:c r="B54" s="8" t="n">
        <x:v>11</x:v>
      </x:c>
      <x:c r="C54" s="8" t="n">
        <x:v>908</x:v>
      </x:c>
      <x:c r="D54" s="12" t="n">
        <x:f>C54/$D$7</x:f>
        <x:v>0.0001640209260354137</x:v>
      </x:c>
      <x:c r="E54" s="8" t="n">
        <x:v>0</x:v>
      </x:c>
      <x:c r="F54" s="12" t="n">
        <x:f>E54/$D$8</x:f>
        <x:v>0</x:v>
      </x:c>
      <x:c r="G54" s="8" t="n">
        <x:v>0</x:v>
      </x:c>
      <x:c r="H54" s="12" t="n">
        <x:f>G54/$D$9</x:f>
        <x:v>0</x:v>
      </x:c>
      <x:c r="I54" s="8" t="n">
        <x:v>13</x:v>
      </x:c>
      <x:c r="J54" s="12" t="n">
        <x:f>I54/$D$10</x:f>
        <x:v>0.00012186205215695832</x:v>
      </x:c>
      <x:c r="K54" s="2"/>
      <x:c r="L54" s="2"/>
    </x:row>
    <x:row r="55" ht="22" customHeight="1">
      <x:c r="A55" s="2"/>
      <x:c r="B55" s="8" t="n">
        <x:v>12</x:v>
      </x:c>
      <x:c r="C55" s="8" t="n">
        <x:v>412</x:v>
      </x:c>
      <x:c r="D55" s="12" t="n">
        <x:f>C55/$D$7</x:f>
        <x:v>0.00007442359198963705</x:v>
      </x:c>
      <x:c r="E55" s="8" t="n">
        <x:v>0</x:v>
      </x:c>
      <x:c r="F55" s="12" t="n">
        <x:f>E55/$D$8</x:f>
        <x:v>0</x:v>
      </x:c>
      <x:c r="G55" s="8" t="n">
        <x:v>0</x:v>
      </x:c>
      <x:c r="H55" s="12" t="n">
        <x:f>G55/$D$9</x:f>
        <x:v>0</x:v>
      </x:c>
      <x:c r="I55" s="8" t="n">
        <x:v>6</x:v>
      </x:c>
      <x:c r="J55" s="12" t="n">
        <x:f>I55/$D$10</x:f>
        <x:v>0.0000562440240724423</x:v>
      </x:c>
      <x:c r="K55" s="2"/>
      <x:c r="L55" s="2"/>
    </x:row>
    <x:row r="56" ht="22" customHeight="1">
      <x:c r="A56" s="2"/>
      <x:c r="B56" s="8" t="n">
        <x:v>13</x:v>
      </x:c>
      <x:c r="C56" s="8" t="n">
        <x:v>178</x:v>
      </x:c>
      <x:c r="D56" s="12" t="n">
        <x:f>C56/$D$7</x:f>
        <x:v>0.00003215388197610533</x:v>
      </x:c>
      <x:c r="E56" s="8" t="n">
        <x:v>0</x:v>
      </x:c>
      <x:c r="F56" s="12" t="n">
        <x:f>E56/$D$8</x:f>
        <x:v>0</x:v>
      </x:c>
      <x:c r="G56" s="8" t="n">
        <x:v>0</x:v>
      </x:c>
      <x:c r="H56" s="12" t="n">
        <x:f>G56/$D$9</x:f>
        <x:v>0</x:v>
      </x:c>
      <x:c r="I56" s="8" t="n">
        <x:v>1</x:v>
      </x:c>
      <x:c r="J56" s="12" t="n">
        <x:f>I56/$D$10</x:f>
        <x:v>0.000009374004012073717</x:v>
      </x:c>
      <x:c r="K56" s="2"/>
      <x:c r="L56" s="2"/>
    </x:row>
    <x:row r="57" ht="22" customHeight="1">
      <x:c r="A57" s="2"/>
      <x:c r="B57" s="8" t="n">
        <x:v>14</x:v>
      </x:c>
      <x:c r="C57" s="8" t="n">
        <x:v>86</x:v>
      </x:c>
      <x:c r="D57" s="12" t="n">
        <x:f>C57/$D$7</x:f>
        <x:v>0.000015535021628904823</x:v>
      </x:c>
      <x:c r="E57" s="8" t="n">
        <x:v>0</x:v>
      </x:c>
      <x:c r="F57" s="12" t="n">
        <x:f>E57/$D$8</x:f>
        <x:v>0</x:v>
      </x:c>
      <x:c r="G57" s="8" t="n">
        <x:v>0</x:v>
      </x:c>
      <x:c r="H57" s="12" t="n">
        <x:f>G57/$D$9</x:f>
        <x:v>0</x:v>
      </x:c>
      <x:c r="I57" s="8" t="n">
        <x:v>4</x:v>
      </x:c>
      <x:c r="J57" s="12" t="n">
        <x:f>I57/$D$10</x:f>
        <x:v>0.00003749601604829487</x:v>
      </x:c>
      <x:c r="K57" s="2"/>
      <x:c r="L57" s="2"/>
    </x:row>
    <x:row r="58" ht="22" customHeight="1">
      <x:c r="A58" s="2"/>
      <x:c r="B58" s="8" t="n">
        <x:v>15</x:v>
      </x:c>
      <x:c r="C58" s="8" t="n">
        <x:v>28</x:v>
      </x:c>
      <x:c r="D58" s="12" t="n">
        <x:f>C58/$D$7</x:f>
        <x:v>0.000005057914018713198</x:v>
      </x:c>
      <x:c r="E58" s="8" t="n">
        <x:v>0</x:v>
      </x:c>
      <x:c r="F58" s="12" t="n">
        <x:f>E58/$D$8</x:f>
        <x:v>0</x:v>
      </x:c>
      <x:c r="G58" s="8" t="n">
        <x:v>0</x:v>
      </x:c>
      <x:c r="H58" s="12" t="n">
        <x:f>G58/$D$9</x:f>
        <x:v>0</x:v>
      </x:c>
      <x:c r="I58" s="8" t="n">
        <x:v>5</x:v>
      </x:c>
      <x:c r="J58" s="12" t="n">
        <x:f>I58/$D$10</x:f>
        <x:v>0.000046870020060368585</x:v>
      </x:c>
      <x:c r="K58" s="2"/>
      <x:c r="L58" s="2"/>
    </x:row>
    <x:row r="59" ht="22" customHeight="1">
      <x:c r="A59" s="2"/>
      <x:c r="B59" s="8" t="n">
        <x:v>16</x:v>
      </x:c>
      <x:c r="C59" s="8" t="n">
        <x:v>12</x:v>
      </x:c>
      <x:c r="D59" s="12" t="n">
        <x:f>C59/$D$7</x:f>
        <x:v>0.0000021676774365913708</x:v>
      </x:c>
      <x:c r="E59" s="8" t="n">
        <x:v>0</x:v>
      </x:c>
      <x:c r="F59" s="12" t="n">
        <x:f>E59/$D$8</x:f>
        <x:v>0</x:v>
      </x:c>
      <x:c r="G59" s="8" t="n">
        <x:v>0</x:v>
      </x:c>
      <x:c r="H59" s="12" t="n">
        <x:f>G59/$D$9</x:f>
        <x:v>0</x:v>
      </x:c>
      <x:c r="I59" s="8" t="n">
        <x:v>0</x:v>
      </x:c>
      <x:c r="J59" s="12" t="n">
        <x:f>I59/$D$10</x:f>
        <x:v>0</x:v>
      </x:c>
      <x:c r="K59" s="2"/>
      <x:c r="L59" s="2"/>
    </x:row>
    <x:row r="60" ht="22" customHeight="1">
      <x:c r="A60" s="2"/>
      <x:c r="B60" s="8" t="n">
        <x:v>17</x:v>
      </x:c>
      <x:c r="C60" s="8" t="n">
        <x:v>1</x:v>
      </x:c>
      <x:c r="D60" s="12" t="n">
        <x:f>C60/$D$7</x:f>
        <x:v>1.806397863826142e-7</x:v>
      </x:c>
      <x:c r="E60" s="8" t="n">
        <x:v>0</x:v>
      </x:c>
      <x:c r="F60" s="12" t="n">
        <x:f>E60/$D$8</x:f>
        <x:v>0</x:v>
      </x:c>
      <x:c r="G60" s="8" t="n">
        <x:v>0</x:v>
      </x:c>
      <x:c r="H60" s="12" t="n">
        <x:f>G60/$D$9</x:f>
        <x:v>0</x:v>
      </x:c>
      <x:c r="I60" s="8" t="n">
        <x:v>1</x:v>
      </x:c>
      <x:c r="J60" s="12" t="n">
        <x:f>I60/$D$10</x:f>
        <x:v>0.000009374004012073717</x:v>
      </x:c>
      <x:c r="K60" s="2"/>
      <x:c r="L60" s="2"/>
    </x:row>
    <x:row r="61" ht="22" customHeight="1">
      <x:c r="A61" s="2"/>
      <x:c r="B61" s="8" t="n">
        <x:v>18</x:v>
      </x:c>
      <x:c r="C61" s="8" t="n">
        <x:v>1</x:v>
      </x:c>
      <x:c r="D61" s="12" t="n">
        <x:f>C61/$D$7</x:f>
        <x:v>1.806397863826142e-7</x:v>
      </x:c>
      <x:c r="E61" s="8" t="n">
        <x:v>0</x:v>
      </x:c>
      <x:c r="F61" s="12" t="n">
        <x:f>E61/$D$8</x:f>
        <x:v>0</x:v>
      </x:c>
      <x:c r="G61" s="8" t="n">
        <x:v>0</x:v>
      </x:c>
      <x:c r="H61" s="12" t="n">
        <x:f>G61/$D$9</x:f>
        <x:v>0</x:v>
      </x:c>
      <x:c r="I61" s="8" t="n">
        <x:v>1</x:v>
      </x:c>
      <x:c r="J61" s="12" t="n">
        <x:f>I61/$D$10</x:f>
        <x:v>0.000009374004012073717</x:v>
      </x:c>
      <x:c r="K61" s="2"/>
      <x:c r="L61" s="2"/>
    </x:row>
    <x:row r="62" ht="22" customHeight="1">
      <x:c r="A62" s="2"/>
      <x:c r="B62" s="8" t="n">
        <x:v>19</x:v>
      </x:c>
      <x:c r="C62" s="8" t="n">
        <x:v>1</x:v>
      </x:c>
      <x:c r="D62" s="12" t="n">
        <x:f>C62/$D$7</x:f>
        <x:v>1.806397863826142e-7</x:v>
      </x:c>
      <x:c r="E62" s="8" t="n">
        <x:v>0</x:v>
      </x:c>
      <x:c r="F62" s="12" t="n">
        <x:f>E62/$D$8</x:f>
        <x:v>0</x:v>
      </x:c>
      <x:c r="G62" s="8" t="n">
        <x:v>0</x:v>
      </x:c>
      <x:c r="H62" s="12" t="n">
        <x:f>G62/$D$9</x:f>
        <x:v>0</x:v>
      </x:c>
      <x:c r="I62" s="8" t="n">
        <x:v>0</x:v>
      </x:c>
      <x:c r="J62" s="12" t="n">
        <x:f>I62/$D$10</x:f>
        <x:v>0</x:v>
      </x:c>
      <x:c r="K62" s="2"/>
      <x:c r="L62" s="2"/>
    </x:row>
    <x:row r="63" ht="22" customHeight="1">
      <x:c r="A63" s="2"/>
      <x:c r="B63" s="8" t="n">
        <x:v>20</x:v>
      </x:c>
      <x:c r="C63" s="8" t="n">
        <x:v>0</x:v>
      </x:c>
      <x:c r="D63" s="12" t="n">
        <x:f>C63/$D$7</x:f>
        <x:v>0</x:v>
      </x:c>
      <x:c r="E63" s="8" t="n">
        <x:v>0</x:v>
      </x:c>
      <x:c r="F63" s="12" t="n">
        <x:f>E63/$D$8</x:f>
        <x:v>0</x:v>
      </x:c>
      <x:c r="G63" s="8" t="n">
        <x:v>0</x:v>
      </x:c>
      <x:c r="H63" s="12" t="n">
        <x:f>G63/$D$9</x:f>
        <x:v>0</x:v>
      </x:c>
      <x:c r="I63" s="8" t="n">
        <x:v>0</x:v>
      </x:c>
      <x:c r="J63" s="12" t="n">
        <x:f>I63/$D$10</x:f>
        <x:v>0</x:v>
      </x:c>
      <x:c r="K63" s="2"/>
      <x:c r="L63" s="2"/>
    </x:row>
    <x:row r="64" ht="22" customHeight="1">
      <x:c r="A64" s="2"/>
      <x:c r="B64" s="8" t="n">
        <x:v>21</x:v>
      </x:c>
      <x:c r="C64" s="8" t="n">
        <x:v>0</x:v>
      </x:c>
      <x:c r="D64" s="12" t="n">
        <x:f>C64/$D$7</x:f>
        <x:v>0</x:v>
      </x:c>
      <x:c r="E64" s="8" t="n">
        <x:v>0</x:v>
      </x:c>
      <x:c r="F64" s="12" t="n">
        <x:f>E64/$D$8</x:f>
        <x:v>0</x:v>
      </x:c>
      <x:c r="G64" s="8" t="n">
        <x:v>0</x:v>
      </x:c>
      <x:c r="H64" s="12" t="n">
        <x:f>G64/$D$9</x:f>
        <x:v>0</x:v>
      </x:c>
      <x:c r="I64" s="8" t="n">
        <x:v>1</x:v>
      </x:c>
      <x:c r="J64" s="12" t="n">
        <x:f>I64/$D$10</x:f>
        <x:v>0.000009374004012073717</x:v>
      </x:c>
      <x:c r="K64" s="2"/>
      <x:c r="L64" s="2"/>
    </x:row>
    <x:row r="65" ht="22" customHeight="1">
      <x:c r="A65" s="2"/>
      <x:c r="B65" s="8" t="n">
        <x:v>22</x:v>
      </x:c>
      <x:c r="C65" s="8" t="n">
        <x:v>0</x:v>
      </x:c>
      <x:c r="D65" s="12" t="n">
        <x:f>C65/$D$7</x:f>
        <x:v>0</x:v>
      </x:c>
      <x:c r="E65" s="8" t="n">
        <x:v>0</x:v>
      </x:c>
      <x:c r="F65" s="12" t="n">
        <x:f>E65/$D$8</x:f>
        <x:v>0</x:v>
      </x:c>
      <x:c r="G65" s="8" t="n">
        <x:v>0</x:v>
      </x:c>
      <x:c r="H65" s="12" t="n">
        <x:f>G65/$D$9</x:f>
        <x:v>0</x:v>
      </x:c>
      <x:c r="I65" s="8" t="n">
        <x:v>2</x:v>
      </x:c>
      <x:c r="J65" s="12" t="n">
        <x:f>I65/$D$10</x:f>
        <x:v>0.000018748008024147435</x:v>
      </x:c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</x:sheetData>
  <x:pageMargins left="0.7" right="0.7" top="0.75" bottom="0.75" header="0.3" footer="0.3"/>
  <x:tableParts count="4">
    <x:tablePart xmlns:r="http://schemas.openxmlformats.org/officeDocument/2006/relationships" r:id="R22f38da3eec24dc5"/>
    <x:tablePart xmlns:r="http://schemas.openxmlformats.org/officeDocument/2006/relationships" r:id="Rf051fcc3121542b3"/>
    <x:tablePart xmlns:r="http://schemas.openxmlformats.org/officeDocument/2006/relationships" r:id="R81b4573a363843a6"/>
    <x:tablePart xmlns:r="http://schemas.openxmlformats.org/officeDocument/2006/relationships" r:id="Rc5637e15576543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19" hidden="0" customWidth="1"/>
    <x:col min="3" max="3" width="2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2"/>
      <x:c r="B2" s="3" t="str">
        <x:v>高次数客户小时与高重复组样本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2" customHeight="1">
      <x:c r="A4" s="2"/>
      <x:c r="B4" s="11" t="str">
        <x:v>按次数从高到低各列前 50 组；客户和商品 ID 按文本保留。高次数不等于错误记录。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9" customHeight="1">
      <x:c r="A6" s="2"/>
      <x:c r="B6" s="7" t="str">
        <x:v>客户ID</x:v>
      </x:c>
      <x:c r="C6" s="7" t="str">
        <x:v>源小时</x:v>
      </x:c>
      <x:c r="D6" s="7" t="str">
        <x:v>原始记录数</x:v>
      </x:c>
      <x:c r="E6" s="7" t="str">
        <x:v>不同四元组数</x:v>
      </x:c>
      <x:c r="F6" s="7" t="str">
        <x:v>超额记录数</x:v>
      </x:c>
      <x:c r="G6" s="7" t="str">
        <x:v>超额占比</x:v>
      </x:c>
      <x:c r="H6" s="7" t="str">
        <x:v>不同商品数</x:v>
      </x:c>
      <x:c r="I6" s="7" t="str">
        <x:v>浏览记录</x:v>
      </x:c>
      <x:c r="J6" s="7" t="str">
        <x:v>收藏记录</x:v>
      </x:c>
      <x:c r="K6" s="7" t="str">
        <x:v>加购记录</x:v>
      </x:c>
      <x:c r="L6" s="7" t="str">
        <x:v>购买记录</x:v>
      </x:c>
    </x:row>
    <x:row r="7" ht="22" customHeight="1">
      <x:c r="A7" s="2"/>
      <x:c r="B7" s="20" t="str">
        <x:v>130270245</x:v>
      </x:c>
      <x:c r="C7" s="21" t="d">
        <x:v>2025-12-07T01:00:00.000Z</x:v>
      </x:c>
      <x:c r="D7" s="8" t="n">
        <x:v>862</x:v>
      </x:c>
      <x:c r="E7" s="8" t="n">
        <x:v>328</x:v>
      </x:c>
      <x:c r="F7" s="8" t="n">
        <x:v>534</x:v>
      </x:c>
      <x:c r="G7" s="9" t="n">
        <x:f>F7/D7</x:f>
        <x:v>0.6194895591647331</x:v>
      </x:c>
      <x:c r="H7" s="8" t="n">
        <x:v>258</x:v>
      </x:c>
      <x:c r="I7" s="8" t="n">
        <x:v>792</x:v>
      </x:c>
      <x:c r="J7" s="8" t="n">
        <x:v>70</x:v>
      </x:c>
      <x:c r="K7" s="8" t="n">
        <x:v>0</x:v>
      </x:c>
      <x:c r="L7" s="8" t="n">
        <x:v>0</x:v>
      </x:c>
    </x:row>
    <x:row r="8" ht="22" customHeight="1">
      <x:c r="A8" s="2"/>
      <x:c r="B8" s="20" t="str">
        <x:v>7234861</x:v>
      </x:c>
      <x:c r="C8" s="21" t="d">
        <x:v>2025-12-04T11:00:00.000Z</x:v>
      </x:c>
      <x:c r="D8" s="8" t="n">
        <x:v>630</x:v>
      </x:c>
      <x:c r="E8" s="8" t="n">
        <x:v>314</x:v>
      </x:c>
      <x:c r="F8" s="8" t="n">
        <x:v>316</x:v>
      </x:c>
      <x:c r="G8" s="9" t="n">
        <x:f>F8/D8</x:f>
        <x:v>0.5015873015873016</x:v>
      </x:c>
      <x:c r="H8" s="8" t="n">
        <x:v>312</x:v>
      </x:c>
      <x:c r="I8" s="8" t="n">
        <x:v>628</x:v>
      </x:c>
      <x:c r="J8" s="8" t="n">
        <x:v>2</x:v>
      </x:c>
      <x:c r="K8" s="8" t="n">
        <x:v>0</x:v>
      </x:c>
      <x:c r="L8" s="8" t="n">
        <x:v>0</x:v>
      </x:c>
    </x:row>
    <x:row r="9" ht="22" customHeight="1">
      <x:c r="A9" s="2"/>
      <x:c r="B9" s="20" t="str">
        <x:v>130270245</x:v>
      </x:c>
      <x:c r="C9" s="21" t="d">
        <x:v>2025-12-09T01:00:00.000Z</x:v>
      </x:c>
      <x:c r="D9" s="8" t="n">
        <x:v>626</x:v>
      </x:c>
      <x:c r="E9" s="8" t="n">
        <x:v>202</x:v>
      </x:c>
      <x:c r="F9" s="8" t="n">
        <x:v>424</x:v>
      </x:c>
      <x:c r="G9" s="9" t="n">
        <x:f>F9/D9</x:f>
        <x:v>0.6773162939297125</x:v>
      </x:c>
      <x:c r="H9" s="8" t="n">
        <x:v>194</x:v>
      </x:c>
      <x:c r="I9" s="8" t="n">
        <x:v>618</x:v>
      </x:c>
      <x:c r="J9" s="8" t="n">
        <x:v>8</x:v>
      </x:c>
      <x:c r="K9" s="8" t="n">
        <x:v>0</x:v>
      </x:c>
      <x:c r="L9" s="8" t="n">
        <x:v>0</x:v>
      </x:c>
    </x:row>
    <x:row r="10" ht="22" customHeight="1">
      <x:c r="A10" s="2"/>
      <x:c r="B10" s="20" t="str">
        <x:v>130270245</x:v>
      </x:c>
      <x:c r="C10" s="21" t="d">
        <x:v>2025-12-10T00:00:00.000Z</x:v>
      </x:c>
      <x:c r="D10" s="8" t="n">
        <x:v>575</x:v>
      </x:c>
      <x:c r="E10" s="8" t="n">
        <x:v>249</x:v>
      </x:c>
      <x:c r="F10" s="8" t="n">
        <x:v>326</x:v>
      </x:c>
      <x:c r="G10" s="9" t="n">
        <x:f>F10/D10</x:f>
        <x:v>0.5669565217391305</x:v>
      </x:c>
      <x:c r="H10" s="8" t="n">
        <x:v>177</x:v>
      </x:c>
      <x:c r="I10" s="8" t="n">
        <x:v>503</x:v>
      </x:c>
      <x:c r="J10" s="8" t="n">
        <x:v>72</x:v>
      </x:c>
      <x:c r="K10" s="8" t="n">
        <x:v>0</x:v>
      </x:c>
      <x:c r="L10" s="8" t="n">
        <x:v>0</x:v>
      </x:c>
    </x:row>
    <x:row r="11" ht="22" customHeight="1">
      <x:c r="A11" s="2"/>
      <x:c r="B11" s="20" t="str">
        <x:v>59511789</x:v>
      </x:c>
      <x:c r="C11" s="21" t="d">
        <x:v>2025-11-20T23:00:00.000Z</x:v>
      </x:c>
      <x:c r="D11" s="8" t="n">
        <x:v>575</x:v>
      </x:c>
      <x:c r="E11" s="8" t="n">
        <x:v>351</x:v>
      </x:c>
      <x:c r="F11" s="8" t="n">
        <x:v>224</x:v>
      </x:c>
      <x:c r="G11" s="9" t="n">
        <x:f>F11/D11</x:f>
        <x:v>0.38956521739130434</x:v>
      </x:c>
      <x:c r="H11" s="8" t="n">
        <x:v>224</x:v>
      </x:c>
      <x:c r="I11" s="8" t="n">
        <x:v>444</x:v>
      </x:c>
      <x:c r="J11" s="8" t="n">
        <x:v>131</x:v>
      </x:c>
      <x:c r="K11" s="8" t="n">
        <x:v>0</x:v>
      </x:c>
      <x:c r="L11" s="8" t="n">
        <x:v>0</x:v>
      </x:c>
    </x:row>
    <x:row r="12" ht="22" customHeight="1">
      <x:c r="A12" s="2"/>
      <x:c r="B12" s="20" t="str">
        <x:v>3065306</x:v>
      </x:c>
      <x:c r="C12" s="21" t="d">
        <x:v>2025-12-09T13:00:00.000Z</x:v>
      </x:c>
      <x:c r="D12" s="8" t="n">
        <x:v>546</x:v>
      </x:c>
      <x:c r="E12" s="8" t="n">
        <x:v>362</x:v>
      </x:c>
      <x:c r="F12" s="8" t="n">
        <x:v>184</x:v>
      </x:c>
      <x:c r="G12" s="9" t="n">
        <x:f>F12/D12</x:f>
        <x:v>0.336996336996337</x:v>
      </x:c>
      <x:c r="H12" s="8" t="n">
        <x:v>187</x:v>
      </x:c>
      <x:c r="I12" s="8" t="n">
        <x:v>371</x:v>
      </x:c>
      <x:c r="J12" s="8" t="n">
        <x:v>170</x:v>
      </x:c>
      <x:c r="K12" s="8" t="n">
        <x:v>5</x:v>
      </x:c>
      <x:c r="L12" s="8" t="n">
        <x:v>0</x:v>
      </x:c>
    </x:row>
    <x:row r="13" ht="22" customHeight="1">
      <x:c r="A13" s="2"/>
      <x:c r="B13" s="20" t="str">
        <x:v>55381200</x:v>
      </x:c>
      <x:c r="C13" s="21" t="d">
        <x:v>2025-12-09T14:00:00.000Z</x:v>
      </x:c>
      <x:c r="D13" s="8" t="n">
        <x:v>530</x:v>
      </x:c>
      <x:c r="E13" s="8" t="n">
        <x:v>309</x:v>
      </x:c>
      <x:c r="F13" s="8" t="n">
        <x:v>221</x:v>
      </x:c>
      <x:c r="G13" s="9" t="n">
        <x:f>F13/D13</x:f>
        <x:v>0.4169811320754717</x:v>
      </x:c>
      <x:c r="H13" s="8" t="n">
        <x:v>203</x:v>
      </x:c>
      <x:c r="I13" s="8" t="n">
        <x:v>424</x:v>
      </x:c>
      <x:c r="J13" s="8" t="n">
        <x:v>104</x:v>
      </x:c>
      <x:c r="K13" s="8" t="n">
        <x:v>2</x:v>
      </x:c>
      <x:c r="L13" s="8" t="n">
        <x:v>0</x:v>
      </x:c>
    </x:row>
    <x:row r="14" ht="22" customHeight="1">
      <x:c r="A14" s="2"/>
      <x:c r="B14" s="20" t="str">
        <x:v>130270245</x:v>
      </x:c>
      <x:c r="C14" s="21" t="d">
        <x:v>2025-12-16T01:00:00.000Z</x:v>
      </x:c>
      <x:c r="D14" s="8" t="n">
        <x:v>502</x:v>
      </x:c>
      <x:c r="E14" s="8" t="n">
        <x:v>191</x:v>
      </x:c>
      <x:c r="F14" s="8" t="n">
        <x:v>311</x:v>
      </x:c>
      <x:c r="G14" s="9" t="n">
        <x:f>F14/D14</x:f>
        <x:v>0.6195219123505976</x:v>
      </x:c>
      <x:c r="H14" s="8" t="n">
        <x:v>185</x:v>
      </x:c>
      <x:c r="I14" s="8" t="n">
        <x:v>496</x:v>
      </x:c>
      <x:c r="J14" s="8" t="n">
        <x:v>6</x:v>
      </x:c>
      <x:c r="K14" s="8" t="n">
        <x:v>0</x:v>
      </x:c>
      <x:c r="L14" s="8" t="n">
        <x:v>0</x:v>
      </x:c>
    </x:row>
    <x:row r="15" ht="22" customHeight="1">
      <x:c r="A15" s="2"/>
      <x:c r="B15" s="20" t="str">
        <x:v>130270245</x:v>
      </x:c>
      <x:c r="C15" s="21" t="d">
        <x:v>2025-11-18T13:00:00.000Z</x:v>
      </x:c>
      <x:c r="D15" s="8" t="n">
        <x:v>501</x:v>
      </x:c>
      <x:c r="E15" s="8" t="n">
        <x:v>200</x:v>
      </x:c>
      <x:c r="F15" s="8" t="n">
        <x:v>301</x:v>
      </x:c>
      <x:c r="G15" s="9" t="n">
        <x:f>F15/D15</x:f>
        <x:v>0.6007984031936128</x:v>
      </x:c>
      <x:c r="H15" s="8" t="n">
        <x:v>186</x:v>
      </x:c>
      <x:c r="I15" s="8" t="n">
        <x:v>486</x:v>
      </x:c>
      <x:c r="J15" s="8" t="n">
        <x:v>15</x:v>
      </x:c>
      <x:c r="K15" s="8" t="n">
        <x:v>0</x:v>
      </x:c>
      <x:c r="L15" s="8" t="n">
        <x:v>0</x:v>
      </x:c>
    </x:row>
    <x:row r="16" ht="22" customHeight="1">
      <x:c r="A16" s="2"/>
      <x:c r="B16" s="20" t="str">
        <x:v>59511789</x:v>
      </x:c>
      <x:c r="C16" s="21" t="d">
        <x:v>2025-11-21T00:00:00.000Z</x:v>
      </x:c>
      <x:c r="D16" s="8" t="n">
        <x:v>490</x:v>
      </x:c>
      <x:c r="E16" s="8" t="n">
        <x:v>250</x:v>
      </x:c>
      <x:c r="F16" s="8" t="n">
        <x:v>240</x:v>
      </x:c>
      <x:c r="G16" s="9" t="n">
        <x:f>F16/D16</x:f>
        <x:v>0.4897959183673469</x:v>
      </x:c>
      <x:c r="H16" s="8" t="n">
        <x:v>173</x:v>
      </x:c>
      <x:c r="I16" s="8" t="n">
        <x:v>413</x:v>
      </x:c>
      <x:c r="J16" s="8" t="n">
        <x:v>77</x:v>
      </x:c>
      <x:c r="K16" s="8" t="n">
        <x:v>0</x:v>
      </x:c>
      <x:c r="L16" s="8" t="n">
        <x:v>0</x:v>
      </x:c>
    </x:row>
    <x:row r="17" ht="22" customHeight="1">
      <x:c r="A17" s="2"/>
      <x:c r="B17" s="20" t="str">
        <x:v>130270245</x:v>
      </x:c>
      <x:c r="C17" s="21" t="d">
        <x:v>2025-12-13T23:00:00.000Z</x:v>
      </x:c>
      <x:c r="D17" s="8" t="n">
        <x:v>489</x:v>
      </x:c>
      <x:c r="E17" s="8" t="n">
        <x:v>207</x:v>
      </x:c>
      <x:c r="F17" s="8" t="n">
        <x:v>282</x:v>
      </x:c>
      <x:c r="G17" s="9" t="n">
        <x:f>F17/D17</x:f>
        <x:v>0.5766871165644172</x:v>
      </x:c>
      <x:c r="H17" s="8" t="n">
        <x:v>171</x:v>
      </x:c>
      <x:c r="I17" s="8" t="n">
        <x:v>452</x:v>
      </x:c>
      <x:c r="J17" s="8" t="n">
        <x:v>37</x:v>
      </x:c>
      <x:c r="K17" s="8" t="n">
        <x:v>0</x:v>
      </x:c>
      <x:c r="L17" s="8" t="n">
        <x:v>0</x:v>
      </x:c>
    </x:row>
    <x:row r="18" ht="22" customHeight="1">
      <x:c r="A18" s="2"/>
      <x:c r="B18" s="20" t="str">
        <x:v>130270245</x:v>
      </x:c>
      <x:c r="C18" s="21" t="d">
        <x:v>2025-12-09T23:00:00.000Z</x:v>
      </x:c>
      <x:c r="D18" s="8" t="n">
        <x:v>487</x:v>
      </x:c>
      <x:c r="E18" s="8" t="n">
        <x:v>198</x:v>
      </x:c>
      <x:c r="F18" s="8" t="n">
        <x:v>289</x:v>
      </x:c>
      <x:c r="G18" s="9" t="n">
        <x:f>F18/D18</x:f>
        <x:v>0.5934291581108829</x:v>
      </x:c>
      <x:c r="H18" s="8" t="n">
        <x:v>162</x:v>
      </x:c>
      <x:c r="I18" s="8" t="n">
        <x:v>451</x:v>
      </x:c>
      <x:c r="J18" s="8" t="n">
        <x:v>36</x:v>
      </x:c>
      <x:c r="K18" s="8" t="n">
        <x:v>0</x:v>
      </x:c>
      <x:c r="L18" s="8" t="n">
        <x:v>0</x:v>
      </x:c>
    </x:row>
    <x:row r="19" ht="22" customHeight="1">
      <x:c r="A19" s="2"/>
      <x:c r="B19" s="20" t="str">
        <x:v>130270245</x:v>
      </x:c>
      <x:c r="C19" s="21" t="d">
        <x:v>2025-12-17T01:00:00.000Z</x:v>
      </x:c>
      <x:c r="D19" s="8" t="n">
        <x:v>479</x:v>
      </x:c>
      <x:c r="E19" s="8" t="n">
        <x:v>154</x:v>
      </x:c>
      <x:c r="F19" s="8" t="n">
        <x:v>325</x:v>
      </x:c>
      <x:c r="G19" s="9" t="n">
        <x:f>F19/D19</x:f>
        <x:v>0.6784968684759917</x:v>
      </x:c>
      <x:c r="H19" s="8" t="n">
        <x:v>154</x:v>
      </x:c>
      <x:c r="I19" s="8" t="n">
        <x:v>479</x:v>
      </x:c>
      <x:c r="J19" s="8" t="n">
        <x:v>0</x:v>
      </x:c>
      <x:c r="K19" s="8" t="n">
        <x:v>0</x:v>
      </x:c>
      <x:c r="L19" s="8" t="n">
        <x:v>0</x:v>
      </x:c>
    </x:row>
    <x:row r="20" ht="22" customHeight="1">
      <x:c r="A20" s="2"/>
      <x:c r="B20" s="20" t="str">
        <x:v>130270245</x:v>
      </x:c>
      <x:c r="C20" s="21" t="d">
        <x:v>2025-12-11T01:00:00.000Z</x:v>
      </x:c>
      <x:c r="D20" s="8" t="n">
        <x:v>478</x:v>
      </x:c>
      <x:c r="E20" s="8" t="n">
        <x:v>170</x:v>
      </x:c>
      <x:c r="F20" s="8" t="n">
        <x:v>308</x:v>
      </x:c>
      <x:c r="G20" s="9" t="n">
        <x:f>F20/D20</x:f>
        <x:v>0.6443514644351465</x:v>
      </x:c>
      <x:c r="H20" s="8" t="n">
        <x:v>141</x:v>
      </x:c>
      <x:c r="I20" s="8" t="n">
        <x:v>449</x:v>
      </x:c>
      <x:c r="J20" s="8" t="n">
        <x:v>29</x:v>
      </x:c>
      <x:c r="K20" s="8" t="n">
        <x:v>0</x:v>
      </x:c>
      <x:c r="L20" s="8" t="n">
        <x:v>0</x:v>
      </x:c>
    </x:row>
    <x:row r="21" ht="22" customHeight="1">
      <x:c r="A21" s="2"/>
      <x:c r="B21" s="20" t="str">
        <x:v>130270245</x:v>
      </x:c>
      <x:c r="C21" s="21" t="d">
        <x:v>2025-12-09T22:00:00.000Z</x:v>
      </x:c>
      <x:c r="D21" s="8" t="n">
        <x:v>473</x:v>
      </x:c>
      <x:c r="E21" s="8" t="n">
        <x:v>180</x:v>
      </x:c>
      <x:c r="F21" s="8" t="n">
        <x:v>293</x:v>
      </x:c>
      <x:c r="G21" s="9" t="n">
        <x:f>F21/D21</x:f>
        <x:v>0.6194503171247357</x:v>
      </x:c>
      <x:c r="H21" s="8" t="n">
        <x:v>162</x:v>
      </x:c>
      <x:c r="I21" s="8" t="n">
        <x:v>455</x:v>
      </x:c>
      <x:c r="J21" s="8" t="n">
        <x:v>18</x:v>
      </x:c>
      <x:c r="K21" s="8" t="n">
        <x:v>0</x:v>
      </x:c>
      <x:c r="L21" s="8" t="n">
        <x:v>0</x:v>
      </x:c>
    </x:row>
    <x:row r="22" ht="22" customHeight="1">
      <x:c r="A22" s="2"/>
      <x:c r="B22" s="20" t="str">
        <x:v>130270245</x:v>
      </x:c>
      <x:c r="C22" s="21" t="d">
        <x:v>2025-12-16T02:00:00.000Z</x:v>
      </x:c>
      <x:c r="D22" s="8" t="n">
        <x:v>456</x:v>
      </x:c>
      <x:c r="E22" s="8" t="n">
        <x:v>178</x:v>
      </x:c>
      <x:c r="F22" s="8" t="n">
        <x:v>278</x:v>
      </x:c>
      <x:c r="G22" s="9" t="n">
        <x:f>F22/D22</x:f>
        <x:v>0.6096491228070176</x:v>
      </x:c>
      <x:c r="H22" s="8" t="n">
        <x:v>178</x:v>
      </x:c>
      <x:c r="I22" s="8" t="n">
        <x:v>456</x:v>
      </x:c>
      <x:c r="J22" s="8" t="n">
        <x:v>0</x:v>
      </x:c>
      <x:c r="K22" s="8" t="n">
        <x:v>0</x:v>
      </x:c>
      <x:c r="L22" s="8" t="n">
        <x:v>0</x:v>
      </x:c>
    </x:row>
    <x:row r="23" ht="22" customHeight="1">
      <x:c r="A23" s="2"/>
      <x:c r="B23" s="20" t="str">
        <x:v>130270245</x:v>
      </x:c>
      <x:c r="C23" s="21" t="d">
        <x:v>2025-11-18T14:00:00.000Z</x:v>
      </x:c>
      <x:c r="D23" s="8" t="n">
        <x:v>452</x:v>
      </x:c>
      <x:c r="E23" s="8" t="n">
        <x:v>184</x:v>
      </x:c>
      <x:c r="F23" s="8" t="n">
        <x:v>268</x:v>
      </x:c>
      <x:c r="G23" s="9" t="n">
        <x:f>F23/D23</x:f>
        <x:v>0.5929203539823009</x:v>
      </x:c>
      <x:c r="H23" s="8" t="n">
        <x:v>179</x:v>
      </x:c>
      <x:c r="I23" s="8" t="n">
        <x:v>447</x:v>
      </x:c>
      <x:c r="J23" s="8" t="n">
        <x:v>5</x:v>
      </x:c>
      <x:c r="K23" s="8" t="n">
        <x:v>0</x:v>
      </x:c>
      <x:c r="L23" s="8" t="n">
        <x:v>0</x:v>
      </x:c>
    </x:row>
    <x:row r="24" ht="22" customHeight="1">
      <x:c r="A24" s="2"/>
      <x:c r="B24" s="20" t="str">
        <x:v>50443823</x:v>
      </x:c>
      <x:c r="C24" s="21" t="d">
        <x:v>2025-12-12T22:00:00.000Z</x:v>
      </x:c>
      <x:c r="D24" s="8" t="n">
        <x:v>446</x:v>
      </x:c>
      <x:c r="E24" s="8" t="n">
        <x:v>227</x:v>
      </x:c>
      <x:c r="F24" s="8" t="n">
        <x:v>219</x:v>
      </x:c>
      <x:c r="G24" s="9" t="n">
        <x:f>F24/D24</x:f>
        <x:v>0.4910313901345291</x:v>
      </x:c>
      <x:c r="H24" s="8" t="n">
        <x:v>180</x:v>
      </x:c>
      <x:c r="I24" s="8" t="n">
        <x:v>392</x:v>
      </x:c>
      <x:c r="J24" s="8" t="n">
        <x:v>0</x:v>
      </x:c>
      <x:c r="K24" s="8" t="n">
        <x:v>54</x:v>
      </x:c>
      <x:c r="L24" s="8" t="n">
        <x:v>0</x:v>
      </x:c>
    </x:row>
    <x:row r="25" ht="22" customHeight="1">
      <x:c r="A25" s="2"/>
      <x:c r="B25" s="20" t="str">
        <x:v>36233277</x:v>
      </x:c>
      <x:c r="C25" s="21" t="d">
        <x:v>2025-12-05T21:00:00.000Z</x:v>
      </x:c>
      <x:c r="D25" s="8" t="n">
        <x:v>442</x:v>
      </x:c>
      <x:c r="E25" s="8" t="n">
        <x:v>248</x:v>
      </x:c>
      <x:c r="F25" s="8" t="n">
        <x:v>194</x:v>
      </x:c>
      <x:c r="G25" s="9" t="n">
        <x:f>F25/D25</x:f>
        <x:v>0.43891402714932126</x:v>
      </x:c>
      <x:c r="H25" s="8" t="n">
        <x:v>164</x:v>
      </x:c>
      <x:c r="I25" s="8" t="n">
        <x:v>358</x:v>
      </x:c>
      <x:c r="J25" s="8" t="n">
        <x:v>84</x:v>
      </x:c>
      <x:c r="K25" s="8" t="n">
        <x:v>0</x:v>
      </x:c>
      <x:c r="L25" s="8" t="n">
        <x:v>0</x:v>
      </x:c>
    </x:row>
    <x:row r="26" ht="22" customHeight="1">
      <x:c r="A26" s="2"/>
      <x:c r="B26" s="20" t="str">
        <x:v>33315048</x:v>
      </x:c>
      <x:c r="C26" s="21" t="d">
        <x:v>2025-12-16T21:00:00.000Z</x:v>
      </x:c>
      <x:c r="D26" s="8" t="n">
        <x:v>438</x:v>
      </x:c>
      <x:c r="E26" s="8" t="n">
        <x:v>180</x:v>
      </x:c>
      <x:c r="F26" s="8" t="n">
        <x:v>258</x:v>
      </x:c>
      <x:c r="G26" s="9" t="n">
        <x:f>F26/D26</x:f>
        <x:v>0.589041095890411</x:v>
      </x:c>
      <x:c r="H26" s="8" t="n">
        <x:v>178</x:v>
      </x:c>
      <x:c r="I26" s="8" t="n">
        <x:v>436</x:v>
      </x:c>
      <x:c r="J26" s="8" t="n">
        <x:v>2</x:v>
      </x:c>
      <x:c r="K26" s="8" t="n">
        <x:v>0</x:v>
      </x:c>
      <x:c r="L26" s="8" t="n">
        <x:v>0</x:v>
      </x:c>
    </x:row>
    <x:row r="27" ht="22" customHeight="1">
      <x:c r="A27" s="2"/>
      <x:c r="B27" s="20" t="str">
        <x:v>74952849</x:v>
      </x:c>
      <x:c r="C27" s="21" t="d">
        <x:v>2025-12-07T11:00:00.000Z</x:v>
      </x:c>
      <x:c r="D27" s="8" t="n">
        <x:v>432</x:v>
      </x:c>
      <x:c r="E27" s="8" t="n">
        <x:v>193</x:v>
      </x:c>
      <x:c r="F27" s="8" t="n">
        <x:v>239</x:v>
      </x:c>
      <x:c r="G27" s="9" t="n">
        <x:f>F27/D27</x:f>
        <x:v>0.5532407407407407</x:v>
      </x:c>
      <x:c r="H27" s="8" t="n">
        <x:v>174</x:v>
      </x:c>
      <x:c r="I27" s="8" t="n">
        <x:v>412</x:v>
      </x:c>
      <x:c r="J27" s="8" t="n">
        <x:v>20</x:v>
      </x:c>
      <x:c r="K27" s="8" t="n">
        <x:v>0</x:v>
      </x:c>
      <x:c r="L27" s="8" t="n">
        <x:v>0</x:v>
      </x:c>
    </x:row>
    <x:row r="28" ht="22" customHeight="1">
      <x:c r="A28" s="2"/>
      <x:c r="B28" s="20" t="str">
        <x:v>113283932</x:v>
      </x:c>
      <x:c r="C28" s="21" t="d">
        <x:v>2025-11-19T13:00:00.000Z</x:v>
      </x:c>
      <x:c r="D28" s="8" t="n">
        <x:v>429</x:v>
      </x:c>
      <x:c r="E28" s="8" t="n">
        <x:v>122</x:v>
      </x:c>
      <x:c r="F28" s="8" t="n">
        <x:v>307</x:v>
      </x:c>
      <x:c r="G28" s="9" t="n">
        <x:f>F28/D28</x:f>
        <x:v>0.7156177156177156</x:v>
      </x:c>
      <x:c r="H28" s="8" t="n">
        <x:v>122</x:v>
      </x:c>
      <x:c r="I28" s="8" t="n">
        <x:v>429</x:v>
      </x:c>
      <x:c r="J28" s="8" t="n">
        <x:v>0</x:v>
      </x:c>
      <x:c r="K28" s="8" t="n">
        <x:v>0</x:v>
      </x:c>
      <x:c r="L28" s="8" t="n">
        <x:v>0</x:v>
      </x:c>
    </x:row>
    <x:row r="29" ht="22" customHeight="1">
      <x:c r="A29" s="2"/>
      <x:c r="B29" s="20" t="str">
        <x:v>55381200</x:v>
      </x:c>
      <x:c r="C29" s="21" t="d">
        <x:v>2025-11-24T14:00:00.000Z</x:v>
      </x:c>
      <x:c r="D29" s="8" t="n">
        <x:v>428</x:v>
      </x:c>
      <x:c r="E29" s="8" t="n">
        <x:v>272</x:v>
      </x:c>
      <x:c r="F29" s="8" t="n">
        <x:v>156</x:v>
      </x:c>
      <x:c r="G29" s="9" t="n">
        <x:f>F29/D29</x:f>
        <x:v>0.3644859813084112</x:v>
      </x:c>
      <x:c r="H29" s="8" t="n">
        <x:v>149</x:v>
      </x:c>
      <x:c r="I29" s="8" t="n">
        <x:v>305</x:v>
      </x:c>
      <x:c r="J29" s="8" t="n">
        <x:v>123</x:v>
      </x:c>
      <x:c r="K29" s="8" t="n">
        <x:v>0</x:v>
      </x:c>
      <x:c r="L29" s="8" t="n">
        <x:v>0</x:v>
      </x:c>
    </x:row>
    <x:row r="30" ht="22" customHeight="1">
      <x:c r="A30" s="2"/>
      <x:c r="B30" s="20" t="str">
        <x:v>130270245</x:v>
      </x:c>
      <x:c r="C30" s="21" t="d">
        <x:v>2025-12-10T01:00:00.000Z</x:v>
      </x:c>
      <x:c r="D30" s="8" t="n">
        <x:v>426</x:v>
      </x:c>
      <x:c r="E30" s="8" t="n">
        <x:v>178</x:v>
      </x:c>
      <x:c r="F30" s="8" t="n">
        <x:v>248</x:v>
      </x:c>
      <x:c r="G30" s="9" t="n">
        <x:f>F30/D30</x:f>
        <x:v>0.5821596244131455</x:v>
      </x:c>
      <x:c r="H30" s="8" t="n">
        <x:v>128</x:v>
      </x:c>
      <x:c r="I30" s="8" t="n">
        <x:v>376</x:v>
      </x:c>
      <x:c r="J30" s="8" t="n">
        <x:v>50</x:v>
      </x:c>
      <x:c r="K30" s="8" t="n">
        <x:v>0</x:v>
      </x:c>
      <x:c r="L30" s="8" t="n">
        <x:v>0</x:v>
      </x:c>
    </x:row>
    <x:row r="31" ht="22" customHeight="1">
      <x:c r="A31" s="2"/>
      <x:c r="B31" s="20" t="str">
        <x:v>113283932</x:v>
      </x:c>
      <x:c r="C31" s="21" t="d">
        <x:v>2025-11-19T12:00:00.000Z</x:v>
      </x:c>
      <x:c r="D31" s="8" t="n">
        <x:v>416</x:v>
      </x:c>
      <x:c r="E31" s="8" t="n">
        <x:v>120</x:v>
      </x:c>
      <x:c r="F31" s="8" t="n">
        <x:v>296</x:v>
      </x:c>
      <x:c r="G31" s="9" t="n">
        <x:f>F31/D31</x:f>
        <x:v>0.7115384615384616</x:v>
      </x:c>
      <x:c r="H31" s="8" t="n">
        <x:v>120</x:v>
      </x:c>
      <x:c r="I31" s="8" t="n">
        <x:v>416</x:v>
      </x:c>
      <x:c r="J31" s="8" t="n">
        <x:v>0</x:v>
      </x:c>
      <x:c r="K31" s="8" t="n">
        <x:v>0</x:v>
      </x:c>
      <x:c r="L31" s="8" t="n">
        <x:v>0</x:v>
      </x:c>
    </x:row>
    <x:row r="32" ht="22" customHeight="1">
      <x:c r="A32" s="2"/>
      <x:c r="B32" s="20" t="str">
        <x:v>50904788</x:v>
      </x:c>
      <x:c r="C32" s="21" t="d">
        <x:v>2025-11-27T10:00:00.000Z</x:v>
      </x:c>
      <x:c r="D32" s="8" t="n">
        <x:v>416</x:v>
      </x:c>
      <x:c r="E32" s="8" t="n">
        <x:v>248</x:v>
      </x:c>
      <x:c r="F32" s="8" t="n">
        <x:v>168</x:v>
      </x:c>
      <x:c r="G32" s="9" t="n">
        <x:f>F32/D32</x:f>
        <x:v>0.40384615384615385</x:v>
      </x:c>
      <x:c r="H32" s="8" t="n">
        <x:v>168</x:v>
      </x:c>
      <x:c r="I32" s="8" t="n">
        <x:v>335</x:v>
      </x:c>
      <x:c r="J32" s="8" t="n">
        <x:v>81</x:v>
      </x:c>
      <x:c r="K32" s="8" t="n">
        <x:v>0</x:v>
      </x:c>
      <x:c r="L32" s="8" t="n">
        <x:v>0</x:v>
      </x:c>
    </x:row>
    <x:row r="33" ht="22" customHeight="1">
      <x:c r="A33" s="2"/>
      <x:c r="B33" s="20" t="str">
        <x:v>59511789</x:v>
      </x:c>
      <x:c r="C33" s="21" t="d">
        <x:v>2025-11-27T22:00:00.000Z</x:v>
      </x:c>
      <x:c r="D33" s="8" t="n">
        <x:v>412</x:v>
      </x:c>
      <x:c r="E33" s="8" t="n">
        <x:v>193</x:v>
      </x:c>
      <x:c r="F33" s="8" t="n">
        <x:v>219</x:v>
      </x:c>
      <x:c r="G33" s="9" t="n">
        <x:f>F33/D33</x:f>
        <x:v>0.5315533980582524</x:v>
      </x:c>
      <x:c r="H33" s="8" t="n">
        <x:v>157</x:v>
      </x:c>
      <x:c r="I33" s="8" t="n">
        <x:v>376</x:v>
      </x:c>
      <x:c r="J33" s="8" t="n">
        <x:v>34</x:v>
      </x:c>
      <x:c r="K33" s="8" t="n">
        <x:v>2</x:v>
      </x:c>
      <x:c r="L33" s="8" t="n">
        <x:v>0</x:v>
      </x:c>
    </x:row>
    <x:row r="34" ht="22" customHeight="1">
      <x:c r="A34" s="2"/>
      <x:c r="B34" s="20" t="str">
        <x:v>59511789</x:v>
      </x:c>
      <x:c r="C34" s="21" t="d">
        <x:v>2025-12-15T23:00:00.000Z</x:v>
      </x:c>
      <x:c r="D34" s="8" t="n">
        <x:v>406</x:v>
      </x:c>
      <x:c r="E34" s="8" t="n">
        <x:v>195</x:v>
      </x:c>
      <x:c r="F34" s="8" t="n">
        <x:v>211</x:v>
      </x:c>
      <x:c r="G34" s="9" t="n">
        <x:f>F34/D34</x:f>
        <x:v>0.5197044334975369</x:v>
      </x:c>
      <x:c r="H34" s="8" t="n">
        <x:v>154</x:v>
      </x:c>
      <x:c r="I34" s="8" t="n">
        <x:v>365</x:v>
      </x:c>
      <x:c r="J34" s="8" t="n">
        <x:v>41</x:v>
      </x:c>
      <x:c r="K34" s="8" t="n">
        <x:v>0</x:v>
      </x:c>
      <x:c r="L34" s="8" t="n">
        <x:v>0</x:v>
      </x:c>
    </x:row>
    <x:row r="35" ht="22" customHeight="1">
      <x:c r="A35" s="2"/>
      <x:c r="B35" s="20" t="str">
        <x:v>50443823</x:v>
      </x:c>
      <x:c r="C35" s="21" t="d">
        <x:v>2025-12-12T20:00:00.000Z</x:v>
      </x:c>
      <x:c r="D35" s="8" t="n">
        <x:v>404</x:v>
      </x:c>
      <x:c r="E35" s="8" t="n">
        <x:v>212</x:v>
      </x:c>
      <x:c r="F35" s="8" t="n">
        <x:v>192</x:v>
      </x:c>
      <x:c r="G35" s="9" t="n">
        <x:f>F35/D35</x:f>
        <x:v>0.4752475247524752</x:v>
      </x:c>
      <x:c r="H35" s="8" t="n">
        <x:v>180</x:v>
      </x:c>
      <x:c r="I35" s="8" t="n">
        <x:v>372</x:v>
      </x:c>
      <x:c r="J35" s="8" t="n">
        <x:v>0</x:v>
      </x:c>
      <x:c r="K35" s="8" t="n">
        <x:v>23</x:v>
      </x:c>
      <x:c r="L35" s="8" t="n">
        <x:v>9</x:v>
      </x:c>
    </x:row>
    <x:row r="36" ht="22" customHeight="1">
      <x:c r="A36" s="2"/>
      <x:c r="B36" s="20" t="str">
        <x:v>7234861</x:v>
      </x:c>
      <x:c r="C36" s="21" t="d">
        <x:v>2025-11-24T15:00:00.000Z</x:v>
      </x:c>
      <x:c r="D36" s="8" t="n">
        <x:v>404</x:v>
      </x:c>
      <x:c r="E36" s="8" t="n">
        <x:v>258</x:v>
      </x:c>
      <x:c r="F36" s="8" t="n">
        <x:v>146</x:v>
      </x:c>
      <x:c r="G36" s="9" t="n">
        <x:f>F36/D36</x:f>
        <x:v>0.3613861386138614</x:v>
      </x:c>
      <x:c r="H36" s="8" t="n">
        <x:v>156</x:v>
      </x:c>
      <x:c r="I36" s="8" t="n">
        <x:v>302</x:v>
      </x:c>
      <x:c r="J36" s="8" t="n">
        <x:v>102</x:v>
      </x:c>
      <x:c r="K36" s="8" t="n">
        <x:v>0</x:v>
      </x:c>
      <x:c r="L36" s="8" t="n">
        <x:v>0</x:v>
      </x:c>
    </x:row>
    <x:row r="37" ht="22" customHeight="1">
      <x:c r="A37" s="2"/>
      <x:c r="B37" s="20" t="str">
        <x:v>74752035</x:v>
      </x:c>
      <x:c r="C37" s="21" t="d">
        <x:v>2025-12-14T22:00:00.000Z</x:v>
      </x:c>
      <x:c r="D37" s="8" t="n">
        <x:v>403</x:v>
      </x:c>
      <x:c r="E37" s="8" t="n">
        <x:v>163</x:v>
      </x:c>
      <x:c r="F37" s="8" t="n">
        <x:v>240</x:v>
      </x:c>
      <x:c r="G37" s="9" t="n">
        <x:f>F37/D37</x:f>
        <x:v>0.5955334987593052</x:v>
      </x:c>
      <x:c r="H37" s="8" t="n">
        <x:v>157</x:v>
      </x:c>
      <x:c r="I37" s="8" t="n">
        <x:v>397</x:v>
      </x:c>
      <x:c r="J37" s="8" t="n">
        <x:v>6</x:v>
      </x:c>
      <x:c r="K37" s="8" t="n">
        <x:v>0</x:v>
      </x:c>
      <x:c r="L37" s="8" t="n">
        <x:v>0</x:v>
      </x:c>
    </x:row>
    <x:row r="38" ht="22" customHeight="1">
      <x:c r="A38" s="2"/>
      <x:c r="B38" s="20" t="str">
        <x:v>130270245</x:v>
      </x:c>
      <x:c r="C38" s="21" t="d">
        <x:v>2025-11-18T17:00:00.000Z</x:v>
      </x:c>
      <x:c r="D38" s="8" t="n">
        <x:v>402</x:v>
      </x:c>
      <x:c r="E38" s="8" t="n">
        <x:v>189</x:v>
      </x:c>
      <x:c r="F38" s="8" t="n">
        <x:v>213</x:v>
      </x:c>
      <x:c r="G38" s="9" t="n">
        <x:f>F38/D38</x:f>
        <x:v>0.5298507462686567</x:v>
      </x:c>
      <x:c r="H38" s="8" t="n">
        <x:v>165</x:v>
      </x:c>
      <x:c r="I38" s="8" t="n">
        <x:v>371</x:v>
      </x:c>
      <x:c r="J38" s="8" t="n">
        <x:v>0</x:v>
      </x:c>
      <x:c r="K38" s="8" t="n">
        <x:v>31</x:v>
      </x:c>
      <x:c r="L38" s="8" t="n">
        <x:v>0</x:v>
      </x:c>
    </x:row>
    <x:row r="39" ht="22" customHeight="1">
      <x:c r="A39" s="2"/>
      <x:c r="B39" s="20" t="str">
        <x:v>74952849</x:v>
      </x:c>
      <x:c r="C39" s="21" t="d">
        <x:v>2025-12-06T15:00:00.000Z</x:v>
      </x:c>
      <x:c r="D39" s="8" t="n">
        <x:v>401</x:v>
      </x:c>
      <x:c r="E39" s="8" t="n">
        <x:v>200</x:v>
      </x:c>
      <x:c r="F39" s="8" t="n">
        <x:v>201</x:v>
      </x:c>
      <x:c r="G39" s="9" t="n">
        <x:f>F39/D39</x:f>
        <x:v>0.5012468827930174</x:v>
      </x:c>
      <x:c r="H39" s="8" t="n">
        <x:v>180</x:v>
      </x:c>
      <x:c r="I39" s="8" t="n">
        <x:v>381</x:v>
      </x:c>
      <x:c r="J39" s="8" t="n">
        <x:v>20</x:v>
      </x:c>
      <x:c r="K39" s="8" t="n">
        <x:v>0</x:v>
      </x:c>
      <x:c r="L39" s="8" t="n">
        <x:v>0</x:v>
      </x:c>
    </x:row>
    <x:row r="40" ht="22" customHeight="1">
      <x:c r="A40" s="2"/>
      <x:c r="B40" s="20" t="str">
        <x:v>113283932</x:v>
      </x:c>
      <x:c r="C40" s="21" t="d">
        <x:v>2025-11-18T14:00:00.000Z</x:v>
      </x:c>
      <x:c r="D40" s="8" t="n">
        <x:v>397</x:v>
      </x:c>
      <x:c r="E40" s="8" t="n">
        <x:v>119</x:v>
      </x:c>
      <x:c r="F40" s="8" t="n">
        <x:v>278</x:v>
      </x:c>
      <x:c r="G40" s="9" t="n">
        <x:f>F40/D40</x:f>
        <x:v>0.7002518891687658</x:v>
      </x:c>
      <x:c r="H40" s="8" t="n">
        <x:v>119</x:v>
      </x:c>
      <x:c r="I40" s="8" t="n">
        <x:v>397</x:v>
      </x:c>
      <x:c r="J40" s="8" t="n">
        <x:v>0</x:v>
      </x:c>
      <x:c r="K40" s="8" t="n">
        <x:v>0</x:v>
      </x:c>
      <x:c r="L40" s="8" t="n">
        <x:v>0</x:v>
      </x:c>
    </x:row>
    <x:row r="41" ht="22" customHeight="1">
      <x:c r="A41" s="2"/>
      <x:c r="B41" s="20" t="str">
        <x:v>36233277</x:v>
      </x:c>
      <x:c r="C41" s="21" t="d">
        <x:v>2025-12-05T22:00:00.000Z</x:v>
      </x:c>
      <x:c r="D41" s="8" t="n">
        <x:v>395</x:v>
      </x:c>
      <x:c r="E41" s="8" t="n">
        <x:v>216</x:v>
      </x:c>
      <x:c r="F41" s="8" t="n">
        <x:v>179</x:v>
      </x:c>
      <x:c r="G41" s="9" t="n">
        <x:f>F41/D41</x:f>
        <x:v>0.4531645569620253</x:v>
      </x:c>
      <x:c r="H41" s="8" t="n">
        <x:v>145</x:v>
      </x:c>
      <x:c r="I41" s="8" t="n">
        <x:v>324</x:v>
      </x:c>
      <x:c r="J41" s="8" t="n">
        <x:v>71</x:v>
      </x:c>
      <x:c r="K41" s="8" t="n">
        <x:v>0</x:v>
      </x:c>
      <x:c r="L41" s="8" t="n">
        <x:v>0</x:v>
      </x:c>
    </x:row>
    <x:row r="42" ht="22" customHeight="1">
      <x:c r="A42" s="2"/>
      <x:c r="B42" s="20" t="str">
        <x:v>125823342</x:v>
      </x:c>
      <x:c r="C42" s="21" t="d">
        <x:v>2025-12-10T21:00:00.000Z</x:v>
      </x:c>
      <x:c r="D42" s="8" t="n">
        <x:v>394</x:v>
      </x:c>
      <x:c r="E42" s="8" t="n">
        <x:v>267</x:v>
      </x:c>
      <x:c r="F42" s="8" t="n">
        <x:v>127</x:v>
      </x:c>
      <x:c r="G42" s="9" t="n">
        <x:f>F42/D42</x:f>
        <x:v>0.3223350253807107</x:v>
      </x:c>
      <x:c r="H42" s="8" t="n">
        <x:v>118</x:v>
      </x:c>
      <x:c r="I42" s="8" t="n">
        <x:v>244</x:v>
      </x:c>
      <x:c r="J42" s="8" t="n">
        <x:v>98</x:v>
      </x:c>
      <x:c r="K42" s="8" t="n">
        <x:v>52</x:v>
      </x:c>
      <x:c r="L42" s="8" t="n">
        <x:v>0</x:v>
      </x:c>
    </x:row>
    <x:row r="43" ht="22" customHeight="1">
      <x:c r="A43" s="2"/>
      <x:c r="B43" s="20" t="str">
        <x:v>99775965</x:v>
      </x:c>
      <x:c r="C43" s="21" t="d">
        <x:v>2025-12-17T20:00:00.000Z</x:v>
      </x:c>
      <x:c r="D43" s="8" t="n">
        <x:v>394</x:v>
      </x:c>
      <x:c r="E43" s="8" t="n">
        <x:v>162</x:v>
      </x:c>
      <x:c r="F43" s="8" t="n">
        <x:v>232</x:v>
      </x:c>
      <x:c r="G43" s="9" t="n">
        <x:f>F43/D43</x:f>
        <x:v>0.5888324873096447</x:v>
      </x:c>
      <x:c r="H43" s="8" t="n">
        <x:v>158</x:v>
      </x:c>
      <x:c r="I43" s="8" t="n">
        <x:v>390</x:v>
      </x:c>
      <x:c r="J43" s="8" t="n">
        <x:v>4</x:v>
      </x:c>
      <x:c r="K43" s="8" t="n">
        <x:v>0</x:v>
      </x:c>
      <x:c r="L43" s="8" t="n">
        <x:v>0</x:v>
      </x:c>
    </x:row>
    <x:row r="44" ht="22" customHeight="1">
      <x:c r="A44" s="2"/>
      <x:c r="B44" s="20" t="str">
        <x:v>91081942</x:v>
      </x:c>
      <x:c r="C44" s="21" t="d">
        <x:v>2025-11-21T21:00:00.000Z</x:v>
      </x:c>
      <x:c r="D44" s="8" t="n">
        <x:v>393</x:v>
      </x:c>
      <x:c r="E44" s="8" t="n">
        <x:v>256</x:v>
      </x:c>
      <x:c r="F44" s="8" t="n">
        <x:v>137</x:v>
      </x:c>
      <x:c r="G44" s="9" t="n">
        <x:f>F44/D44</x:f>
        <x:v>0.3486005089058524</x:v>
      </x:c>
      <x:c r="H44" s="8" t="n">
        <x:v>136</x:v>
      </x:c>
      <x:c r="I44" s="8" t="n">
        <x:v>273</x:v>
      </x:c>
      <x:c r="J44" s="8" t="n">
        <x:v>120</x:v>
      </x:c>
      <x:c r="K44" s="8" t="n">
        <x:v>0</x:v>
      </x:c>
      <x:c r="L44" s="8" t="n">
        <x:v>0</x:v>
      </x:c>
    </x:row>
    <x:row r="45" ht="22" customHeight="1">
      <x:c r="A45" s="2"/>
      <x:c r="B45" s="20" t="str">
        <x:v>76253363</x:v>
      </x:c>
      <x:c r="C45" s="21" t="d">
        <x:v>2025-11-26T00:00:00.000Z</x:v>
      </x:c>
      <x:c r="D45" s="8" t="n">
        <x:v>389</x:v>
      </x:c>
      <x:c r="E45" s="8" t="n">
        <x:v>297</x:v>
      </x:c>
      <x:c r="F45" s="8" t="n">
        <x:v>92</x:v>
      </x:c>
      <x:c r="G45" s="9" t="n">
        <x:f>F45/D45</x:f>
        <x:v>0.2365038560411311</x:v>
      </x:c>
      <x:c r="H45" s="8" t="n">
        <x:v>189</x:v>
      </x:c>
      <x:c r="I45" s="8" t="n">
        <x:v>280</x:v>
      </x:c>
      <x:c r="J45" s="8" t="n">
        <x:v>109</x:v>
      </x:c>
      <x:c r="K45" s="8" t="n">
        <x:v>0</x:v>
      </x:c>
      <x:c r="L45" s="8" t="n">
        <x:v>0</x:v>
      </x:c>
    </x:row>
    <x:row r="46" ht="22" customHeight="1">
      <x:c r="A46" s="2"/>
      <x:c r="B46" s="20" t="str">
        <x:v>126399162</x:v>
      </x:c>
      <x:c r="C46" s="21" t="d">
        <x:v>2025-11-26T17:00:00.000Z</x:v>
      </x:c>
      <x:c r="D46" s="8" t="n">
        <x:v>387</x:v>
      </x:c>
      <x:c r="E46" s="8" t="n">
        <x:v>254</x:v>
      </x:c>
      <x:c r="F46" s="8" t="n">
        <x:v>133</x:v>
      </x:c>
      <x:c r="G46" s="9" t="n">
        <x:f>F46/D46</x:f>
        <x:v>0.34366925064599485</x:v>
      </x:c>
      <x:c r="H46" s="8" t="n">
        <x:v>137</x:v>
      </x:c>
      <x:c r="I46" s="8" t="n">
        <x:v>269</x:v>
      </x:c>
      <x:c r="J46" s="8" t="n">
        <x:v>118</x:v>
      </x:c>
      <x:c r="K46" s="8" t="n">
        <x:v>0</x:v>
      </x:c>
      <x:c r="L46" s="8" t="n">
        <x:v>0</x:v>
      </x:c>
    </x:row>
    <x:row r="47" ht="22" customHeight="1">
      <x:c r="A47" s="2"/>
      <x:c r="B47" s="20" t="str">
        <x:v>79134636</x:v>
      </x:c>
      <x:c r="C47" s="21" t="d">
        <x:v>2025-12-06T01:00:00.000Z</x:v>
      </x:c>
      <x:c r="D47" s="8" t="n">
        <x:v>385</x:v>
      </x:c>
      <x:c r="E47" s="8" t="n">
        <x:v>193</x:v>
      </x:c>
      <x:c r="F47" s="8" t="n">
        <x:v>192</x:v>
      </x:c>
      <x:c r="G47" s="9" t="n">
        <x:f>F47/D47</x:f>
        <x:v>0.4987012987012987</x:v>
      </x:c>
      <x:c r="H47" s="8" t="n">
        <x:v>130</x:v>
      </x:c>
      <x:c r="I47" s="8" t="n">
        <x:v>322</x:v>
      </x:c>
      <x:c r="J47" s="8" t="n">
        <x:v>42</x:v>
      </x:c>
      <x:c r="K47" s="8" t="n">
        <x:v>21</x:v>
      </x:c>
      <x:c r="L47" s="8" t="n">
        <x:v>0</x:v>
      </x:c>
    </x:row>
    <x:row r="48" ht="22" customHeight="1">
      <x:c r="A48" s="2"/>
      <x:c r="B48" s="20" t="str">
        <x:v>36233277</x:v>
      </x:c>
      <x:c r="C48" s="21" t="d">
        <x:v>2025-12-03T22:00:00.000Z</x:v>
      </x:c>
      <x:c r="D48" s="8" t="n">
        <x:v>381</x:v>
      </x:c>
      <x:c r="E48" s="8" t="n">
        <x:v>211</x:v>
      </x:c>
      <x:c r="F48" s="8" t="n">
        <x:v>170</x:v>
      </x:c>
      <x:c r="G48" s="9" t="n">
        <x:f>F48/D48</x:f>
        <x:v>0.4461942257217848</x:v>
      </x:c>
      <x:c r="H48" s="8" t="n">
        <x:v>141</x:v>
      </x:c>
      <x:c r="I48" s="8" t="n">
        <x:v>311</x:v>
      </x:c>
      <x:c r="J48" s="8" t="n">
        <x:v>65</x:v>
      </x:c>
      <x:c r="K48" s="8" t="n">
        <x:v>5</x:v>
      </x:c>
      <x:c r="L48" s="8" t="n">
        <x:v>0</x:v>
      </x:c>
    </x:row>
    <x:row r="49" ht="22" customHeight="1">
      <x:c r="A49" s="2"/>
      <x:c r="B49" s="20" t="str">
        <x:v>91731364</x:v>
      </x:c>
      <x:c r="C49" s="21" t="d">
        <x:v>2025-12-18T02:00:00.000Z</x:v>
      </x:c>
      <x:c r="D49" s="8" t="n">
        <x:v>381</x:v>
      </x:c>
      <x:c r="E49" s="8" t="n">
        <x:v>186</x:v>
      </x:c>
      <x:c r="F49" s="8" t="n">
        <x:v>195</x:v>
      </x:c>
      <x:c r="G49" s="9" t="n">
        <x:f>F49/D49</x:f>
        <x:v>0.5118110236220472</x:v>
      </x:c>
      <x:c r="H49" s="8" t="n">
        <x:v>181</x:v>
      </x:c>
      <x:c r="I49" s="8" t="n">
        <x:v>376</x:v>
      </x:c>
      <x:c r="J49" s="8" t="n">
        <x:v>5</x:v>
      </x:c>
      <x:c r="K49" s="8" t="n">
        <x:v>0</x:v>
      </x:c>
      <x:c r="L49" s="8" t="n">
        <x:v>0</x:v>
      </x:c>
    </x:row>
    <x:row r="50" ht="22" customHeight="1">
      <x:c r="A50" s="2"/>
      <x:c r="B50" s="20" t="str">
        <x:v>75916920</x:v>
      </x:c>
      <x:c r="C50" s="21" t="d">
        <x:v>2025-12-04T19:00:00.000Z</x:v>
      </x:c>
      <x:c r="D50" s="8" t="n">
        <x:v>380</x:v>
      </x:c>
      <x:c r="E50" s="8" t="n">
        <x:v>185</x:v>
      </x:c>
      <x:c r="F50" s="8" t="n">
        <x:v>195</x:v>
      </x:c>
      <x:c r="G50" s="9" t="n">
        <x:f>F50/D50</x:f>
        <x:v>0.5131578947368421</x:v>
      </x:c>
      <x:c r="H50" s="8" t="n">
        <x:v>136</x:v>
      </x:c>
      <x:c r="I50" s="8" t="n">
        <x:v>331</x:v>
      </x:c>
      <x:c r="J50" s="8" t="n">
        <x:v>40</x:v>
      </x:c>
      <x:c r="K50" s="8" t="n">
        <x:v>7</x:v>
      </x:c>
      <x:c r="L50" s="8" t="n">
        <x:v>2</x:v>
      </x:c>
    </x:row>
    <x:row r="51" ht="22" customHeight="1">
      <x:c r="A51" s="2"/>
      <x:c r="B51" s="20" t="str">
        <x:v>117718025</x:v>
      </x:c>
      <x:c r="C51" s="21" t="d">
        <x:v>2025-12-16T15:00:00.000Z</x:v>
      </x:c>
      <x:c r="D51" s="8" t="n">
        <x:v>377</x:v>
      </x:c>
      <x:c r="E51" s="8" t="n">
        <x:v>284</x:v>
      </x:c>
      <x:c r="F51" s="8" t="n">
        <x:v>93</x:v>
      </x:c>
      <x:c r="G51" s="9" t="n">
        <x:f>F51/D51</x:f>
        <x:v>0.246684350132626</x:v>
      </x:c>
      <x:c r="H51" s="8" t="n">
        <x:v>182</x:v>
      </x:c>
      <x:c r="I51" s="8" t="n">
        <x:v>259</x:v>
      </x:c>
      <x:c r="J51" s="8" t="n">
        <x:v>32</x:v>
      </x:c>
      <x:c r="K51" s="8" t="n">
        <x:v>86</x:v>
      </x:c>
      <x:c r="L51" s="8" t="n">
        <x:v>0</x:v>
      </x:c>
    </x:row>
    <x:row r="52" ht="22" customHeight="1">
      <x:c r="A52" s="2"/>
      <x:c r="B52" s="20" t="str">
        <x:v>89428650</x:v>
      </x:c>
      <x:c r="C52" s="21" t="d">
        <x:v>2025-12-11T10:00:00.000Z</x:v>
      </x:c>
      <x:c r="D52" s="8" t="n">
        <x:v>374</x:v>
      </x:c>
      <x:c r="E52" s="8" t="n">
        <x:v>185</x:v>
      </x:c>
      <x:c r="F52" s="8" t="n">
        <x:v>189</x:v>
      </x:c>
      <x:c r="G52" s="9" t="n">
        <x:f>F52/D52</x:f>
        <x:v>0.5053475935828877</x:v>
      </x:c>
      <x:c r="H52" s="8" t="n">
        <x:v>172</x:v>
      </x:c>
      <x:c r="I52" s="8" t="n">
        <x:v>361</x:v>
      </x:c>
      <x:c r="J52" s="8" t="n">
        <x:v>1</x:v>
      </x:c>
      <x:c r="K52" s="8" t="n">
        <x:v>8</x:v>
      </x:c>
      <x:c r="L52" s="8" t="n">
        <x:v>4</x:v>
      </x:c>
    </x:row>
    <x:row r="53" ht="22" customHeight="1">
      <x:c r="A53" s="2"/>
      <x:c r="B53" s="20" t="str">
        <x:v>77339861</x:v>
      </x:c>
      <x:c r="C53" s="21" t="d">
        <x:v>2025-11-18T05:00:00.000Z</x:v>
      </x:c>
      <x:c r="D53" s="8" t="n">
        <x:v>371</x:v>
      </x:c>
      <x:c r="E53" s="8" t="n">
        <x:v>157</x:v>
      </x:c>
      <x:c r="F53" s="8" t="n">
        <x:v>214</x:v>
      </x:c>
      <x:c r="G53" s="9" t="n">
        <x:f>F53/D53</x:f>
        <x:v>0.5768194070080862</x:v>
      </x:c>
      <x:c r="H53" s="8" t="n">
        <x:v>142</x:v>
      </x:c>
      <x:c r="I53" s="8" t="n">
        <x:v>356</x:v>
      </x:c>
      <x:c r="J53" s="8" t="n">
        <x:v>2</x:v>
      </x:c>
      <x:c r="K53" s="8" t="n">
        <x:v>13</x:v>
      </x:c>
      <x:c r="L53" s="8" t="n">
        <x:v>0</x:v>
      </x:c>
    </x:row>
    <x:row r="54" ht="22" customHeight="1">
      <x:c r="A54" s="2"/>
      <x:c r="B54" s="20" t="str">
        <x:v>130270245</x:v>
      </x:c>
      <x:c r="C54" s="21" t="d">
        <x:v>2025-12-16T21:00:00.000Z</x:v>
      </x:c>
      <x:c r="D54" s="8" t="n">
        <x:v>367</x:v>
      </x:c>
      <x:c r="E54" s="8" t="n">
        <x:v>143</x:v>
      </x:c>
      <x:c r="F54" s="8" t="n">
        <x:v>224</x:v>
      </x:c>
      <x:c r="G54" s="9" t="n">
        <x:f>F54/D54</x:f>
        <x:v>0.6103542234332425</x:v>
      </x:c>
      <x:c r="H54" s="8" t="n">
        <x:v>143</x:v>
      </x:c>
      <x:c r="I54" s="8" t="n">
        <x:v>367</x:v>
      </x:c>
      <x:c r="J54" s="8" t="n">
        <x:v>0</x:v>
      </x:c>
      <x:c r="K54" s="8" t="n">
        <x:v>0</x:v>
      </x:c>
      <x:c r="L54" s="8" t="n">
        <x:v>0</x:v>
      </x:c>
    </x:row>
    <x:row r="55" ht="22" customHeight="1">
      <x:c r="A55" s="2"/>
      <x:c r="B55" s="20" t="str">
        <x:v>59131217</x:v>
      </x:c>
      <x:c r="C55" s="21" t="d">
        <x:v>2025-11-25T17:00:00.000Z</x:v>
      </x:c>
      <x:c r="D55" s="8" t="n">
        <x:v>367</x:v>
      </x:c>
      <x:c r="E55" s="8" t="n">
        <x:v>194</x:v>
      </x:c>
      <x:c r="F55" s="8" t="n">
        <x:v>173</x:v>
      </x:c>
      <x:c r="G55" s="9" t="n">
        <x:f>F55/D55</x:f>
        <x:v>0.4713896457765668</x:v>
      </x:c>
      <x:c r="H55" s="8" t="n">
        <x:v>165</x:v>
      </x:c>
      <x:c r="I55" s="8" t="n">
        <x:v>337</x:v>
      </x:c>
      <x:c r="J55" s="8" t="n">
        <x:v>30</x:v>
      </x:c>
      <x:c r="K55" s="8" t="n">
        <x:v>0</x:v>
      </x:c>
      <x:c r="L55" s="8" t="n">
        <x:v>0</x:v>
      </x:c>
    </x:row>
    <x:row r="56" ht="22" customHeight="1">
      <x:c r="A56" s="2"/>
      <x:c r="B56" s="20" t="str">
        <x:v>59511789</x:v>
      </x:c>
      <x:c r="C56" s="21" t="d">
        <x:v>2025-11-25T23:00:00.000Z</x:v>
      </x:c>
      <x:c r="D56" s="8" t="n">
        <x:v>367</x:v>
      </x:c>
      <x:c r="E56" s="8" t="n">
        <x:v>177</x:v>
      </x:c>
      <x:c r="F56" s="8" t="n">
        <x:v>190</x:v>
      </x:c>
      <x:c r="G56" s="9" t="n">
        <x:f>F56/D56</x:f>
        <x:v>0.5177111716621253</x:v>
      </x:c>
      <x:c r="H56" s="8" t="n">
        <x:v>147</x:v>
      </x:c>
      <x:c r="I56" s="8" t="n">
        <x:v>336</x:v>
      </x:c>
      <x:c r="J56" s="8" t="n">
        <x:v>31</x:v>
      </x:c>
      <x:c r="K56" s="8" t="n">
        <x:v>0</x:v>
      </x:c>
      <x:c r="L56" s="8" t="n">
        <x:v>0</x:v>
      </x:c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11" t="str">
        <x:v>以下样本为同一客户、小时、商品、行为反复出现最多的分组；没有订单 ID 可供确认。</x:v>
      </x:c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9" customHeight="1">
      <x:c r="A61" s="2"/>
      <x:c r="B61" s="7" t="str">
        <x:v>客户ID</x:v>
      </x:c>
      <x:c r="C61" s="7" t="str">
        <x:v>源小时</x:v>
      </x:c>
      <x:c r="D61" s="7" t="str">
        <x:v>商品ID</x:v>
      </x:c>
      <x:c r="E61" s="7" t="str">
        <x:v>类目ID</x:v>
      </x:c>
      <x:c r="F61" s="7" t="str">
        <x:v>行为</x:v>
      </x:c>
      <x:c r="G61" s="7" t="str">
        <x:v>出现次数</x:v>
      </x:c>
      <x:c r="H61" s="7" t="str">
        <x:v>首条源记录序号</x:v>
      </x:c>
      <x:c r="I61" s="2"/>
      <x:c r="J61" s="2"/>
      <x:c r="K61" s="2"/>
      <x:c r="L61" s="2"/>
    </x:row>
    <x:row r="62" ht="22" customHeight="1">
      <x:c r="A62" s="2"/>
      <x:c r="B62" s="20" t="str">
        <x:v>18997016</x:v>
      </x:c>
      <x:c r="C62" s="21" t="d">
        <x:v>2025-12-05T16:00:00.000Z</x:v>
      </x:c>
      <x:c r="D62" s="20" t="str">
        <x:v>400291504</x:v>
      </x:c>
      <x:c r="E62" s="20" t="str">
        <x:v>6977</x:v>
      </x:c>
      <x:c r="F62" s="2" t="str">
        <x:v>购买</x:v>
      </x:c>
      <x:c r="G62" s="8" t="n">
        <x:v>22</x:v>
      </x:c>
      <x:c r="H62" s="8" t="n">
        <x:v>805391</x:v>
      </x:c>
      <x:c r="I62" s="2"/>
      <x:c r="J62" s="2"/>
      <x:c r="K62" s="2"/>
      <x:c r="L62" s="2"/>
    </x:row>
    <x:row r="63" ht="22" customHeight="1">
      <x:c r="A63" s="2"/>
      <x:c r="B63" s="20" t="str">
        <x:v>84916776</x:v>
      </x:c>
      <x:c r="C63" s="21" t="d">
        <x:v>2025-12-01T12:00:00.000Z</x:v>
      </x:c>
      <x:c r="D63" s="20" t="str">
        <x:v>330469986</x:v>
      </x:c>
      <x:c r="E63" s="20" t="str">
        <x:v>12189</x:v>
      </x:c>
      <x:c r="F63" s="2" t="str">
        <x:v>购买</x:v>
      </x:c>
      <x:c r="G63" s="8" t="n">
        <x:v>22</x:v>
      </x:c>
      <x:c r="H63" s="8" t="n">
        <x:v>177921</x:v>
      </x:c>
      <x:c r="I63" s="2"/>
      <x:c r="J63" s="2"/>
      <x:c r="K63" s="2"/>
      <x:c r="L63" s="2"/>
    </x:row>
    <x:row r="64" ht="22" customHeight="1">
      <x:c r="A64" s="2"/>
      <x:c r="B64" s="20" t="str">
        <x:v>128960133</x:v>
      </x:c>
      <x:c r="C64" s="21" t="d">
        <x:v>2025-12-08T18:00:00.000Z</x:v>
      </x:c>
      <x:c r="D64" s="20" t="str">
        <x:v>243091690</x:v>
      </x:c>
      <x:c r="E64" s="20" t="str">
        <x:v>7117</x:v>
      </x:c>
      <x:c r="F64" s="2" t="str">
        <x:v>购买</x:v>
      </x:c>
      <x:c r="G64" s="8" t="n">
        <x:v>21</x:v>
      </x:c>
      <x:c r="H64" s="8" t="n">
        <x:v>195223</x:v>
      </x:c>
      <x:c r="I64" s="2"/>
      <x:c r="J64" s="2"/>
      <x:c r="K64" s="2"/>
      <x:c r="L64" s="2"/>
    </x:row>
    <x:row r="65" ht="22" customHeight="1">
      <x:c r="A65" s="2"/>
      <x:c r="B65" s="20" t="str">
        <x:v>87475354</x:v>
      </x:c>
      <x:c r="C65" s="21" t="d">
        <x:v>2025-11-24T15:00:00.000Z</x:v>
      </x:c>
      <x:c r="D65" s="20" t="str">
        <x:v>115329193</x:v>
      </x:c>
      <x:c r="E65" s="20" t="str">
        <x:v>12421</x:v>
      </x:c>
      <x:c r="F65" s="2" t="str">
        <x:v>浏览</x:v>
      </x:c>
      <x:c r="G65" s="8" t="n">
        <x:v>19</x:v>
      </x:c>
      <x:c r="H65" s="8" t="n">
        <x:v>2655137</x:v>
      </x:c>
      <x:c r="I65" s="2"/>
      <x:c r="J65" s="2"/>
      <x:c r="K65" s="2"/>
      <x:c r="L65" s="2"/>
    </x:row>
    <x:row r="66" ht="22" customHeight="1">
      <x:c r="A66" s="2"/>
      <x:c r="B66" s="20" t="str">
        <x:v>10319860</x:v>
      </x:c>
      <x:c r="C66" s="21" t="d">
        <x:v>2025-12-12T14:00:00.000Z</x:v>
      </x:c>
      <x:c r="D66" s="20" t="str">
        <x:v>98463177</x:v>
      </x:c>
      <x:c r="E66" s="20" t="str">
        <x:v>1863</x:v>
      </x:c>
      <x:c r="F66" s="2" t="str">
        <x:v>浏览</x:v>
      </x:c>
      <x:c r="G66" s="8" t="n">
        <x:v>18</x:v>
      </x:c>
      <x:c r="H66" s="8" t="n">
        <x:v>729853</x:v>
      </x:c>
      <x:c r="I66" s="2"/>
      <x:c r="J66" s="2"/>
      <x:c r="K66" s="2"/>
      <x:c r="L66" s="2"/>
    </x:row>
    <x:row r="67" ht="22" customHeight="1">
      <x:c r="A67" s="2"/>
      <x:c r="B67" s="20" t="str">
        <x:v>12210870</x:v>
      </x:c>
      <x:c r="C67" s="21" t="d">
        <x:v>2025-12-18T11:00:00.000Z</x:v>
      </x:c>
      <x:c r="D67" s="20" t="str">
        <x:v>256794605</x:v>
      </x:c>
      <x:c r="E67" s="20" t="str">
        <x:v>9419</x:v>
      </x:c>
      <x:c r="F67" s="2" t="str">
        <x:v>购买</x:v>
      </x:c>
      <x:c r="G67" s="8" t="n">
        <x:v>18</x:v>
      </x:c>
      <x:c r="H67" s="8" t="n">
        <x:v>664402</x:v>
      </x:c>
      <x:c r="I67" s="2"/>
      <x:c r="J67" s="2"/>
      <x:c r="K67" s="2"/>
      <x:c r="L67" s="2"/>
    </x:row>
    <x:row r="68" ht="22" customHeight="1">
      <x:c r="A68" s="2"/>
      <x:c r="B68" s="20" t="str">
        <x:v>104200605</x:v>
      </x:c>
      <x:c r="C68" s="21" t="d">
        <x:v>2025-11-21T16:00:00.000Z</x:v>
      </x:c>
      <x:c r="D68" s="20" t="str">
        <x:v>225571839</x:v>
      </x:c>
      <x:c r="E68" s="20" t="str">
        <x:v>4584</x:v>
      </x:c>
      <x:c r="F68" s="2" t="str">
        <x:v>浏览</x:v>
      </x:c>
      <x:c r="G68" s="8" t="n">
        <x:v>17</x:v>
      </x:c>
      <x:c r="H68" s="8" t="n">
        <x:v>1976833</x:v>
      </x:c>
      <x:c r="I68" s="2"/>
      <x:c r="J68" s="2"/>
      <x:c r="K68" s="2"/>
      <x:c r="L68" s="2"/>
    </x:row>
    <x:row r="69" ht="22" customHeight="1">
      <x:c r="A69" s="2"/>
      <x:c r="B69" s="20" t="str">
        <x:v>98980048</x:v>
      </x:c>
      <x:c r="C69" s="21" t="d">
        <x:v>2025-12-14T10:00:00.000Z</x:v>
      </x:c>
      <x:c r="D69" s="20" t="str">
        <x:v>200630531</x:v>
      </x:c>
      <x:c r="E69" s="20" t="str">
        <x:v>5661</x:v>
      </x:c>
      <x:c r="F69" s="2" t="str">
        <x:v>购买</x:v>
      </x:c>
      <x:c r="G69" s="8" t="n">
        <x:v>17</x:v>
      </x:c>
      <x:c r="H69" s="8" t="n">
        <x:v>968116</x:v>
      </x:c>
      <x:c r="I69" s="2"/>
      <x:c r="J69" s="2"/>
      <x:c r="K69" s="2"/>
      <x:c r="L69" s="2"/>
    </x:row>
    <x:row r="70" ht="22" customHeight="1">
      <x:c r="A70" s="2"/>
      <x:c r="B70" s="20" t="str">
        <x:v>105732108</x:v>
      </x:c>
      <x:c r="C70" s="21" t="d">
        <x:v>2025-11-18T10:00:00.000Z</x:v>
      </x:c>
      <x:c r="D70" s="20" t="str">
        <x:v>348187851</x:v>
      </x:c>
      <x:c r="E70" s="20" t="str">
        <x:v>6000</x:v>
      </x:c>
      <x:c r="F70" s="2" t="str">
        <x:v>浏览</x:v>
      </x:c>
      <x:c r="G70" s="8" t="n">
        <x:v>16</x:v>
      </x:c>
      <x:c r="H70" s="8" t="n">
        <x:v>694144</x:v>
      </x:c>
      <x:c r="I70" s="2"/>
      <x:c r="J70" s="2"/>
      <x:c r="K70" s="2"/>
      <x:c r="L70" s="2"/>
    </x:row>
    <x:row r="71" ht="22" customHeight="1">
      <x:c r="A71" s="2"/>
      <x:c r="B71" s="20" t="str">
        <x:v>125135169</x:v>
      </x:c>
      <x:c r="C71" s="21" t="d">
        <x:v>2025-11-20T21:00:00.000Z</x:v>
      </x:c>
      <x:c r="D71" s="20" t="str">
        <x:v>193756596</x:v>
      </x:c>
      <x:c r="E71" s="20" t="str">
        <x:v>11774</x:v>
      </x:c>
      <x:c r="F71" s="2" t="str">
        <x:v>浏览</x:v>
      </x:c>
      <x:c r="G71" s="8" t="n">
        <x:v>16</x:v>
      </x:c>
      <x:c r="H71" s="8" t="n">
        <x:v>731258</x:v>
      </x:c>
      <x:c r="I71" s="2"/>
      <x:c r="J71" s="2"/>
      <x:c r="K71" s="2"/>
      <x:c r="L71" s="2"/>
    </x:row>
    <x:row r="72" ht="22" customHeight="1">
      <x:c r="A72" s="2"/>
      <x:c r="B72" s="20" t="str">
        <x:v>126046148</x:v>
      </x:c>
      <x:c r="C72" s="21" t="d">
        <x:v>2025-12-18T22:00:00.000Z</x:v>
      </x:c>
      <x:c r="D72" s="20" t="str">
        <x:v>196489010</x:v>
      </x:c>
      <x:c r="E72" s="20" t="str">
        <x:v>6176</x:v>
      </x:c>
      <x:c r="F72" s="2" t="str">
        <x:v>浏览</x:v>
      </x:c>
      <x:c r="G72" s="8" t="n">
        <x:v>16</x:v>
      </x:c>
      <x:c r="H72" s="8" t="n">
        <x:v>1018899</x:v>
      </x:c>
      <x:c r="I72" s="2"/>
      <x:c r="J72" s="2"/>
      <x:c r="K72" s="2"/>
      <x:c r="L72" s="2"/>
    </x:row>
    <x:row r="73" ht="22" customHeight="1">
      <x:c r="A73" s="2"/>
      <x:c r="B73" s="20" t="str">
        <x:v>130547450</x:v>
      </x:c>
      <x:c r="C73" s="21" t="d">
        <x:v>2025-12-04T18:00:00.000Z</x:v>
      </x:c>
      <x:c r="D73" s="20" t="str">
        <x:v>146875337</x:v>
      </x:c>
      <x:c r="E73" s="20" t="str">
        <x:v>13186</x:v>
      </x:c>
      <x:c r="F73" s="2" t="str">
        <x:v>浏览</x:v>
      </x:c>
      <x:c r="G73" s="8" t="n">
        <x:v>16</x:v>
      </x:c>
      <x:c r="H73" s="8" t="n">
        <x:v>201925</x:v>
      </x:c>
      <x:c r="I73" s="2"/>
      <x:c r="J73" s="2"/>
      <x:c r="K73" s="2"/>
      <x:c r="L73" s="2"/>
    </x:row>
    <x:row r="74" ht="22" customHeight="1">
      <x:c r="A74" s="2"/>
      <x:c r="B74" s="20" t="str">
        <x:v>135159590</x:v>
      </x:c>
      <x:c r="C74" s="21" t="d">
        <x:v>2025-12-12T18:00:00.000Z</x:v>
      </x:c>
      <x:c r="D74" s="20" t="str">
        <x:v>135316142</x:v>
      </x:c>
      <x:c r="E74" s="20" t="str">
        <x:v>11985</x:v>
      </x:c>
      <x:c r="F74" s="2" t="str">
        <x:v>浏览</x:v>
      </x:c>
      <x:c r="G74" s="8" t="n">
        <x:v>16</x:v>
      </x:c>
      <x:c r="H74" s="8" t="n">
        <x:v>408788</x:v>
      </x:c>
      <x:c r="I74" s="2"/>
      <x:c r="J74" s="2"/>
      <x:c r="K74" s="2"/>
      <x:c r="L74" s="2"/>
    </x:row>
    <x:row r="75" ht="22" customHeight="1">
      <x:c r="A75" s="2"/>
      <x:c r="B75" s="20" t="str">
        <x:v>140356732</x:v>
      </x:c>
      <x:c r="C75" s="21" t="d">
        <x:v>2025-11-24T11:00:00.000Z</x:v>
      </x:c>
      <x:c r="D75" s="20" t="str">
        <x:v>61536323</x:v>
      </x:c>
      <x:c r="E75" s="20" t="str">
        <x:v>515</x:v>
      </x:c>
      <x:c r="F75" s="2" t="str">
        <x:v>浏览</x:v>
      </x:c>
      <x:c r="G75" s="8" t="n">
        <x:v>16</x:v>
      </x:c>
      <x:c r="H75" s="8" t="n">
        <x:v>554231</x:v>
      </x:c>
      <x:c r="I75" s="2"/>
      <x:c r="J75" s="2"/>
      <x:c r="K75" s="2"/>
      <x:c r="L75" s="2"/>
    </x:row>
    <x:row r="76" ht="22" customHeight="1">
      <x:c r="A76" s="2"/>
      <x:c r="B76" s="20" t="str">
        <x:v>14804631</x:v>
      </x:c>
      <x:c r="C76" s="21" t="d">
        <x:v>2025-11-21T13:00:00.000Z</x:v>
      </x:c>
      <x:c r="D76" s="20" t="str">
        <x:v>396803652</x:v>
      </x:c>
      <x:c r="E76" s="20" t="str">
        <x:v>6571</x:v>
      </x:c>
      <x:c r="F76" s="2" t="str">
        <x:v>浏览</x:v>
      </x:c>
      <x:c r="G76" s="8" t="n">
        <x:v>16</x:v>
      </x:c>
      <x:c r="H76" s="8" t="n">
        <x:v>959275</x:v>
      </x:c>
      <x:c r="I76" s="2"/>
      <x:c r="J76" s="2"/>
      <x:c r="K76" s="2"/>
      <x:c r="L76" s="2"/>
    </x:row>
    <x:row r="77" ht="22" customHeight="1">
      <x:c r="A77" s="2"/>
      <x:c r="B77" s="20" t="str">
        <x:v>15158257</x:v>
      </x:c>
      <x:c r="C77" s="21" t="d">
        <x:v>2025-12-14T20:00:00.000Z</x:v>
      </x:c>
      <x:c r="D77" s="20" t="str">
        <x:v>104018878</x:v>
      </x:c>
      <x:c r="E77" s="20" t="str">
        <x:v>10523</x:v>
      </x:c>
      <x:c r="F77" s="2" t="str">
        <x:v>浏览</x:v>
      </x:c>
      <x:c r="G77" s="8" t="n">
        <x:v>16</x:v>
      </x:c>
      <x:c r="H77" s="8" t="n">
        <x:v>2242469</x:v>
      </x:c>
      <x:c r="I77" s="2"/>
      <x:c r="J77" s="2"/>
      <x:c r="K77" s="2"/>
      <x:c r="L77" s="2"/>
    </x:row>
    <x:row r="78" ht="22" customHeight="1">
      <x:c r="A78" s="2"/>
      <x:c r="B78" s="20" t="str">
        <x:v>59241675</x:v>
      </x:c>
      <x:c r="C78" s="21" t="d">
        <x:v>2025-12-13T20:00:00.000Z</x:v>
      </x:c>
      <x:c r="D78" s="20" t="str">
        <x:v>11141249</x:v>
      </x:c>
      <x:c r="E78" s="20" t="str">
        <x:v>5503</x:v>
      </x:c>
      <x:c r="F78" s="2" t="str">
        <x:v>浏览</x:v>
      </x:c>
      <x:c r="G78" s="8" t="n">
        <x:v>16</x:v>
      </x:c>
      <x:c r="H78" s="8" t="n">
        <x:v>572411</x:v>
      </x:c>
      <x:c r="I78" s="2"/>
      <x:c r="J78" s="2"/>
      <x:c r="K78" s="2"/>
      <x:c r="L78" s="2"/>
    </x:row>
    <x:row r="79" ht="22" customHeight="1">
      <x:c r="A79" s="2"/>
      <x:c r="B79" s="20" t="str">
        <x:v>81964332</x:v>
      </x:c>
      <x:c r="C79" s="21" t="d">
        <x:v>2025-12-01T22:00:00.000Z</x:v>
      </x:c>
      <x:c r="D79" s="20" t="str">
        <x:v>139093701</x:v>
      </x:c>
      <x:c r="E79" s="20" t="str">
        <x:v>12135</x:v>
      </x:c>
      <x:c r="F79" s="2" t="str">
        <x:v>浏览</x:v>
      </x:c>
      <x:c r="G79" s="8" t="n">
        <x:v>16</x:v>
      </x:c>
      <x:c r="H79" s="8" t="n">
        <x:v>755573</x:v>
      </x:c>
      <x:c r="I79" s="2"/>
      <x:c r="J79" s="2"/>
      <x:c r="K79" s="2"/>
      <x:c r="L79" s="2"/>
    </x:row>
    <x:row r="80" ht="22" customHeight="1">
      <x:c r="A80" s="2"/>
      <x:c r="B80" s="20" t="str">
        <x:v>82320644</x:v>
      </x:c>
      <x:c r="C80" s="21" t="d">
        <x:v>2025-12-04T19:00:00.000Z</x:v>
      </x:c>
      <x:c r="D80" s="20" t="str">
        <x:v>318051652</x:v>
      </x:c>
      <x:c r="E80" s="20" t="str">
        <x:v>2513</x:v>
      </x:c>
      <x:c r="F80" s="2" t="str">
        <x:v>浏览</x:v>
      </x:c>
      <x:c r="G80" s="8" t="n">
        <x:v>16</x:v>
      </x:c>
      <x:c r="H80" s="8" t="n">
        <x:v>2331499</x:v>
      </x:c>
      <x:c r="I80" s="2"/>
      <x:c r="J80" s="2"/>
      <x:c r="K80" s="2"/>
      <x:c r="L80" s="2"/>
    </x:row>
    <x:row r="81" ht="22" customHeight="1">
      <x:c r="A81" s="2"/>
      <x:c r="B81" s="20" t="str">
        <x:v>9639120</x:v>
      </x:c>
      <x:c r="C81" s="21" t="d">
        <x:v>2025-12-17T21:00:00.000Z</x:v>
      </x:c>
      <x:c r="D81" s="20" t="str">
        <x:v>244146675</x:v>
      </x:c>
      <x:c r="E81" s="20" t="str">
        <x:v>9247</x:v>
      </x:c>
      <x:c r="F81" s="2" t="str">
        <x:v>浏览</x:v>
      </x:c>
      <x:c r="G81" s="8" t="n">
        <x:v>16</x:v>
      </x:c>
      <x:c r="H81" s="8" t="n">
        <x:v>1220220</x:v>
      </x:c>
      <x:c r="I81" s="2"/>
      <x:c r="J81" s="2"/>
      <x:c r="K81" s="2"/>
      <x:c r="L81" s="2"/>
    </x:row>
    <x:row r="82" ht="22" customHeight="1">
      <x:c r="A82" s="2"/>
      <x:c r="B82" s="20" t="str">
        <x:v>101748138</x:v>
      </x:c>
      <x:c r="C82" s="21" t="d">
        <x:v>2025-12-09T21:00:00.000Z</x:v>
      </x:c>
      <x:c r="D82" s="20" t="str">
        <x:v>223885100</x:v>
      </x:c>
      <x:c r="E82" s="20" t="str">
        <x:v>4642</x:v>
      </x:c>
      <x:c r="F82" s="2" t="str">
        <x:v>浏览</x:v>
      </x:c>
      <x:c r="G82" s="8" t="n">
        <x:v>15</x:v>
      </x:c>
      <x:c r="H82" s="8" t="n">
        <x:v>3466500</x:v>
      </x:c>
      <x:c r="I82" s="2"/>
      <x:c r="J82" s="2"/>
      <x:c r="K82" s="2"/>
      <x:c r="L82" s="2"/>
    </x:row>
    <x:row r="83" ht="22" customHeight="1">
      <x:c r="A83" s="2"/>
      <x:c r="B83" s="20" t="str">
        <x:v>104164603</x:v>
      </x:c>
      <x:c r="C83" s="21" t="d">
        <x:v>2025-11-27T13:00:00.000Z</x:v>
      </x:c>
      <x:c r="D83" s="20" t="str">
        <x:v>293646767</x:v>
      </x:c>
      <x:c r="E83" s="20" t="str">
        <x:v>7995</x:v>
      </x:c>
      <x:c r="F83" s="2" t="str">
        <x:v>浏览</x:v>
      </x:c>
      <x:c r="G83" s="8" t="n">
        <x:v>15</x:v>
      </x:c>
      <x:c r="H83" s="8" t="n">
        <x:v>678423</x:v>
      </x:c>
      <x:c r="I83" s="2"/>
      <x:c r="J83" s="2"/>
      <x:c r="K83" s="2"/>
      <x:c r="L83" s="2"/>
    </x:row>
    <x:row r="84" ht="22" customHeight="1">
      <x:c r="A84" s="2"/>
      <x:c r="B84" s="20" t="str">
        <x:v>108129951</x:v>
      </x:c>
      <x:c r="C84" s="21" t="d">
        <x:v>2025-11-23T13:00:00.000Z</x:v>
      </x:c>
      <x:c r="D84" s="20" t="str">
        <x:v>198171311</x:v>
      </x:c>
      <x:c r="E84" s="20" t="str">
        <x:v>5027</x:v>
      </x:c>
      <x:c r="F84" s="2" t="str">
        <x:v>浏览</x:v>
      </x:c>
      <x:c r="G84" s="8" t="n">
        <x:v>15</x:v>
      </x:c>
      <x:c r="H84" s="8" t="n">
        <x:v>1199202</x:v>
      </x:c>
      <x:c r="I84" s="2"/>
      <x:c r="J84" s="2"/>
      <x:c r="K84" s="2"/>
      <x:c r="L84" s="2"/>
    </x:row>
    <x:row r="85" ht="22" customHeight="1">
      <x:c r="A85" s="2"/>
      <x:c r="B85" s="20" t="str">
        <x:v>108829095</x:v>
      </x:c>
      <x:c r="C85" s="21" t="d">
        <x:v>2025-12-12T21:00:00.000Z</x:v>
      </x:c>
      <x:c r="D85" s="20" t="str">
        <x:v>333235328</x:v>
      </x:c>
      <x:c r="E85" s="20" t="str">
        <x:v>5027</x:v>
      </x:c>
      <x:c r="F85" s="2" t="str">
        <x:v>浏览</x:v>
      </x:c>
      <x:c r="G85" s="8" t="n">
        <x:v>15</x:v>
      </x:c>
      <x:c r="H85" s="8" t="n">
        <x:v>118404</x:v>
      </x:c>
      <x:c r="I85" s="2"/>
      <x:c r="J85" s="2"/>
      <x:c r="K85" s="2"/>
      <x:c r="L85" s="2"/>
    </x:row>
    <x:row r="86" ht="22" customHeight="1">
      <x:c r="A86" s="2"/>
      <x:c r="B86" s="20" t="str">
        <x:v>108919322</x:v>
      </x:c>
      <x:c r="C86" s="21" t="d">
        <x:v>2025-12-12T10:00:00.000Z</x:v>
      </x:c>
      <x:c r="D86" s="20" t="str">
        <x:v>116222087</x:v>
      </x:c>
      <x:c r="E86" s="20" t="str">
        <x:v>2883</x:v>
      </x:c>
      <x:c r="F86" s="2" t="str">
        <x:v>浏览</x:v>
      </x:c>
      <x:c r="G86" s="8" t="n">
        <x:v>15</x:v>
      </x:c>
      <x:c r="H86" s="8" t="n">
        <x:v>415602</x:v>
      </x:c>
      <x:c r="I86" s="2"/>
      <x:c r="J86" s="2"/>
      <x:c r="K86" s="2"/>
      <x:c r="L86" s="2"/>
    </x:row>
    <x:row r="87" ht="22" customHeight="1">
      <x:c r="A87" s="2"/>
      <x:c r="B87" s="20" t="str">
        <x:v>123842164</x:v>
      </x:c>
      <x:c r="C87" s="21" t="d">
        <x:v>2025-11-27T22:00:00.000Z</x:v>
      </x:c>
      <x:c r="D87" s="20" t="str">
        <x:v>217442256</x:v>
      </x:c>
      <x:c r="E87" s="20" t="str">
        <x:v>6977</x:v>
      </x:c>
      <x:c r="F87" s="2" t="str">
        <x:v>购买</x:v>
      </x:c>
      <x:c r="G87" s="8" t="n">
        <x:v>15</x:v>
      </x:c>
      <x:c r="H87" s="8" t="n">
        <x:v>727513</x:v>
      </x:c>
      <x:c r="I87" s="2"/>
      <x:c r="J87" s="2"/>
      <x:c r="K87" s="2"/>
      <x:c r="L87" s="2"/>
    </x:row>
    <x:row r="88" ht="22" customHeight="1">
      <x:c r="A88" s="2"/>
      <x:c r="B88" s="20" t="str">
        <x:v>126323626</x:v>
      </x:c>
      <x:c r="C88" s="21" t="d">
        <x:v>2025-12-05T10:00:00.000Z</x:v>
      </x:c>
      <x:c r="D88" s="20" t="str">
        <x:v>208703662</x:v>
      </x:c>
      <x:c r="E88" s="20" t="str">
        <x:v>8438</x:v>
      </x:c>
      <x:c r="F88" s="2" t="str">
        <x:v>浏览</x:v>
      </x:c>
      <x:c r="G88" s="8" t="n">
        <x:v>15</x:v>
      </x:c>
      <x:c r="H88" s="8" t="n">
        <x:v>411887</x:v>
      </x:c>
      <x:c r="I88" s="2"/>
      <x:c r="J88" s="2"/>
      <x:c r="K88" s="2"/>
      <x:c r="L88" s="2"/>
    </x:row>
    <x:row r="89" ht="22" customHeight="1">
      <x:c r="A89" s="2"/>
      <x:c r="B89" s="20" t="str">
        <x:v>129685421</x:v>
      </x:c>
      <x:c r="C89" s="21" t="d">
        <x:v>2025-12-12T10:00:00.000Z</x:v>
      </x:c>
      <x:c r="D89" s="20" t="str">
        <x:v>74796524</x:v>
      </x:c>
      <x:c r="E89" s="20" t="str">
        <x:v>9247</x:v>
      </x:c>
      <x:c r="F89" s="2" t="str">
        <x:v>浏览</x:v>
      </x:c>
      <x:c r="G89" s="8" t="n">
        <x:v>15</x:v>
      </x:c>
      <x:c r="H89" s="8" t="n">
        <x:v>2292856</x:v>
      </x:c>
      <x:c r="I89" s="2"/>
      <x:c r="J89" s="2"/>
      <x:c r="K89" s="2"/>
      <x:c r="L89" s="2"/>
    </x:row>
    <x:row r="90" ht="22" customHeight="1">
      <x:c r="A90" s="2"/>
      <x:c r="B90" s="20" t="str">
        <x:v>130572539</x:v>
      </x:c>
      <x:c r="C90" s="21" t="d">
        <x:v>2025-11-18T20:00:00.000Z</x:v>
      </x:c>
      <x:c r="D90" s="20" t="str">
        <x:v>391752319</x:v>
      </x:c>
      <x:c r="E90" s="20" t="str">
        <x:v>8270</x:v>
      </x:c>
      <x:c r="F90" s="2" t="str">
        <x:v>浏览</x:v>
      </x:c>
      <x:c r="G90" s="8" t="n">
        <x:v>15</x:v>
      </x:c>
      <x:c r="H90" s="8" t="n">
        <x:v>1136024</x:v>
      </x:c>
      <x:c r="I90" s="2"/>
      <x:c r="J90" s="2"/>
      <x:c r="K90" s="2"/>
      <x:c r="L90" s="2"/>
    </x:row>
    <x:row r="91" ht="22" customHeight="1">
      <x:c r="A91" s="2"/>
      <x:c r="B91" s="20" t="str">
        <x:v>13254648</x:v>
      </x:c>
      <x:c r="C91" s="21" t="d">
        <x:v>2025-12-06T23:00:00.000Z</x:v>
      </x:c>
      <x:c r="D91" s="20" t="str">
        <x:v>271859853</x:v>
      </x:c>
      <x:c r="E91" s="20" t="str">
        <x:v>1250</x:v>
      </x:c>
      <x:c r="F91" s="2" t="str">
        <x:v>浏览</x:v>
      </x:c>
      <x:c r="G91" s="8" t="n">
        <x:v>15</x:v>
      </x:c>
      <x:c r="H91" s="8" t="n">
        <x:v>980598</x:v>
      </x:c>
      <x:c r="I91" s="2"/>
      <x:c r="J91" s="2"/>
      <x:c r="K91" s="2"/>
      <x:c r="L91" s="2"/>
    </x:row>
    <x:row r="92" ht="22" customHeight="1">
      <x:c r="A92" s="2"/>
      <x:c r="B92" s="20" t="str">
        <x:v>138390959</x:v>
      </x:c>
      <x:c r="C92" s="21" t="d">
        <x:v>2025-12-12T22:00:00.000Z</x:v>
      </x:c>
      <x:c r="D92" s="20" t="str">
        <x:v>300809470</x:v>
      </x:c>
      <x:c r="E92" s="20" t="str">
        <x:v>3099</x:v>
      </x:c>
      <x:c r="F92" s="2" t="str">
        <x:v>浏览</x:v>
      </x:c>
      <x:c r="G92" s="8" t="n">
        <x:v>15</x:v>
      </x:c>
      <x:c r="H92" s="8" t="n">
        <x:v>85489</x:v>
      </x:c>
      <x:c r="I92" s="2"/>
      <x:c r="J92" s="2"/>
      <x:c r="K92" s="2"/>
      <x:c r="L92" s="2"/>
    </x:row>
    <x:row r="93" ht="22" customHeight="1">
      <x:c r="A93" s="2"/>
      <x:c r="B93" s="20" t="str">
        <x:v>139462332</x:v>
      </x:c>
      <x:c r="C93" s="21" t="d">
        <x:v>2025-11-27T19:00:00.000Z</x:v>
      </x:c>
      <x:c r="D93" s="20" t="str">
        <x:v>345884676</x:v>
      </x:c>
      <x:c r="E93" s="20" t="str">
        <x:v>814</x:v>
      </x:c>
      <x:c r="F93" s="2" t="str">
        <x:v>浏览</x:v>
      </x:c>
      <x:c r="G93" s="8" t="n">
        <x:v>15</x:v>
      </x:c>
      <x:c r="H93" s="8" t="n">
        <x:v>1945472</x:v>
      </x:c>
      <x:c r="I93" s="2"/>
      <x:c r="J93" s="2"/>
      <x:c r="K93" s="2"/>
      <x:c r="L93" s="2"/>
    </x:row>
    <x:row r="94" ht="22" customHeight="1">
      <x:c r="A94" s="2"/>
      <x:c r="B94" s="20" t="str">
        <x:v>18927299</x:v>
      </x:c>
      <x:c r="C94" s="21" t="d">
        <x:v>2025-12-03T23:00:00.000Z</x:v>
      </x:c>
      <x:c r="D94" s="20" t="str">
        <x:v>357062464</x:v>
      </x:c>
      <x:c r="E94" s="20" t="str">
        <x:v>1121</x:v>
      </x:c>
      <x:c r="F94" s="2" t="str">
        <x:v>购买</x:v>
      </x:c>
      <x:c r="G94" s="8" t="n">
        <x:v>15</x:v>
      </x:c>
      <x:c r="H94" s="8" t="n">
        <x:v>2447095</x:v>
      </x:c>
      <x:c r="I94" s="2"/>
      <x:c r="J94" s="2"/>
      <x:c r="K94" s="2"/>
      <x:c r="L94" s="2"/>
    </x:row>
    <x:row r="95" ht="22" customHeight="1">
      <x:c r="A95" s="2"/>
      <x:c r="B95" s="20" t="str">
        <x:v>19047603</x:v>
      </x:c>
      <x:c r="C95" s="21" t="d">
        <x:v>2025-11-26T20:00:00.000Z</x:v>
      </x:c>
      <x:c r="D95" s="20" t="str">
        <x:v>195495882</x:v>
      </x:c>
      <x:c r="E95" s="20" t="str">
        <x:v>3628</x:v>
      </x:c>
      <x:c r="F95" s="2" t="str">
        <x:v>浏览</x:v>
      </x:c>
      <x:c r="G95" s="8" t="n">
        <x:v>15</x:v>
      </x:c>
      <x:c r="H95" s="8" t="n">
        <x:v>513427</x:v>
      </x:c>
      <x:c r="I95" s="2"/>
      <x:c r="J95" s="2"/>
      <x:c r="K95" s="2"/>
      <x:c r="L95" s="2"/>
    </x:row>
    <x:row r="96" ht="22" customHeight="1">
      <x:c r="A96" s="2"/>
      <x:c r="B96" s="20" t="str">
        <x:v>21875488</x:v>
      </x:c>
      <x:c r="C96" s="21" t="d">
        <x:v>2025-12-12T00:00:00.000Z</x:v>
      </x:c>
      <x:c r="D96" s="20" t="str">
        <x:v>67122278</x:v>
      </x:c>
      <x:c r="E96" s="20" t="str">
        <x:v>8095</x:v>
      </x:c>
      <x:c r="F96" s="2" t="str">
        <x:v>浏览</x:v>
      </x:c>
      <x:c r="G96" s="8" t="n">
        <x:v>15</x:v>
      </x:c>
      <x:c r="H96" s="8" t="n">
        <x:v>1839744</x:v>
      </x:c>
      <x:c r="I96" s="2"/>
      <x:c r="J96" s="2"/>
      <x:c r="K96" s="2"/>
      <x:c r="L96" s="2"/>
    </x:row>
    <x:row r="97" ht="22" customHeight="1">
      <x:c r="A97" s="2"/>
      <x:c r="B97" s="20" t="str">
        <x:v>22170979</x:v>
      </x:c>
      <x:c r="C97" s="21" t="d">
        <x:v>2025-12-07T18:00:00.000Z</x:v>
      </x:c>
      <x:c r="D97" s="20" t="str">
        <x:v>78871525</x:v>
      </x:c>
      <x:c r="E97" s="20" t="str">
        <x:v>5752</x:v>
      </x:c>
      <x:c r="F97" s="2" t="str">
        <x:v>浏览</x:v>
      </x:c>
      <x:c r="G97" s="8" t="n">
        <x:v>15</x:v>
      </x:c>
      <x:c r="H97" s="8" t="n">
        <x:v>449569</x:v>
      </x:c>
      <x:c r="I97" s="2"/>
      <x:c r="J97" s="2"/>
      <x:c r="K97" s="2"/>
      <x:c r="L97" s="2"/>
    </x:row>
    <x:row r="98" ht="22" customHeight="1">
      <x:c r="A98" s="2"/>
      <x:c r="B98" s="20" t="str">
        <x:v>28204658</x:v>
      </x:c>
      <x:c r="C98" s="21" t="d">
        <x:v>2025-12-01T14:00:00.000Z</x:v>
      </x:c>
      <x:c r="D98" s="20" t="str">
        <x:v>274817633</x:v>
      </x:c>
      <x:c r="E98" s="20" t="str">
        <x:v>1863</x:v>
      </x:c>
      <x:c r="F98" s="2" t="str">
        <x:v>浏览</x:v>
      </x:c>
      <x:c r="G98" s="8" t="n">
        <x:v>15</x:v>
      </x:c>
      <x:c r="H98" s="8" t="n">
        <x:v>230838</x:v>
      </x:c>
      <x:c r="I98" s="2"/>
      <x:c r="J98" s="2"/>
      <x:c r="K98" s="2"/>
      <x:c r="L98" s="2"/>
    </x:row>
    <x:row r="99" ht="22" customHeight="1">
      <x:c r="A99" s="2"/>
      <x:c r="B99" s="20" t="str">
        <x:v>28967361</x:v>
      </x:c>
      <x:c r="C99" s="21" t="d">
        <x:v>2025-12-12T16:00:00.000Z</x:v>
      </x:c>
      <x:c r="D99" s="20" t="str">
        <x:v>135333475</x:v>
      </x:c>
      <x:c r="E99" s="20" t="str">
        <x:v>11623</x:v>
      </x:c>
      <x:c r="F99" s="2" t="str">
        <x:v>浏览</x:v>
      </x:c>
      <x:c r="G99" s="8" t="n">
        <x:v>15</x:v>
      </x:c>
      <x:c r="H99" s="8" t="n">
        <x:v>781647</x:v>
      </x:c>
      <x:c r="I99" s="2"/>
      <x:c r="J99" s="2"/>
      <x:c r="K99" s="2"/>
      <x:c r="L99" s="2"/>
    </x:row>
    <x:row r="100" ht="22" customHeight="1">
      <x:c r="A100" s="2"/>
      <x:c r="B100" s="20" t="str">
        <x:v>35338207</x:v>
      </x:c>
      <x:c r="C100" s="21" t="d">
        <x:v>2025-12-15T09:00:00.000Z</x:v>
      </x:c>
      <x:c r="D100" s="20" t="str">
        <x:v>349262235</x:v>
      </x:c>
      <x:c r="E100" s="20" t="str">
        <x:v>7691</x:v>
      </x:c>
      <x:c r="F100" s="2" t="str">
        <x:v>购买</x:v>
      </x:c>
      <x:c r="G100" s="8" t="n">
        <x:v>15</x:v>
      </x:c>
      <x:c r="H100" s="8" t="n">
        <x:v>526084</x:v>
      </x:c>
      <x:c r="I100" s="2"/>
      <x:c r="J100" s="2"/>
      <x:c r="K100" s="2"/>
      <x:c r="L100" s="2"/>
    </x:row>
    <x:row r="101" ht="22" customHeight="1">
      <x:c r="A101" s="2"/>
      <x:c r="B101" s="20" t="str">
        <x:v>35709243</x:v>
      </x:c>
      <x:c r="C101" s="21" t="d">
        <x:v>2025-12-08T21:00:00.000Z</x:v>
      </x:c>
      <x:c r="D101" s="20" t="str">
        <x:v>267988551</x:v>
      </x:c>
      <x:c r="E101" s="20" t="str">
        <x:v>13230</x:v>
      </x:c>
      <x:c r="F101" s="2" t="str">
        <x:v>浏览</x:v>
      </x:c>
      <x:c r="G101" s="8" t="n">
        <x:v>15</x:v>
      </x:c>
      <x:c r="H101" s="8" t="n">
        <x:v>838054</x:v>
      </x:c>
      <x:c r="I101" s="2"/>
      <x:c r="J101" s="2"/>
      <x:c r="K101" s="2"/>
      <x:c r="L101" s="2"/>
    </x:row>
    <x:row r="102" ht="22" customHeight="1">
      <x:c r="A102" s="2"/>
      <x:c r="B102" s="20" t="str">
        <x:v>40798219</x:v>
      </x:c>
      <x:c r="C102" s="21" t="d">
        <x:v>2025-12-14T19:00:00.000Z</x:v>
      </x:c>
      <x:c r="D102" s="20" t="str">
        <x:v>200424885</x:v>
      </x:c>
      <x:c r="E102" s="20" t="str">
        <x:v>3046</x:v>
      </x:c>
      <x:c r="F102" s="2" t="str">
        <x:v>浏览</x:v>
      </x:c>
      <x:c r="G102" s="8" t="n">
        <x:v>15</x:v>
      </x:c>
      <x:c r="H102" s="8" t="n">
        <x:v>2117287</x:v>
      </x:c>
      <x:c r="I102" s="2"/>
      <x:c r="J102" s="2"/>
      <x:c r="K102" s="2"/>
      <x:c r="L102" s="2"/>
    </x:row>
    <x:row r="103" ht="22" customHeight="1">
      <x:c r="A103" s="2"/>
      <x:c r="B103" s="20" t="str">
        <x:v>40826918</x:v>
      </x:c>
      <x:c r="C103" s="21" t="d">
        <x:v>2025-11-22T18:00:00.000Z</x:v>
      </x:c>
      <x:c r="D103" s="20" t="str">
        <x:v>284675118</x:v>
      </x:c>
      <x:c r="E103" s="20" t="str">
        <x:v>8874</x:v>
      </x:c>
      <x:c r="F103" s="2" t="str">
        <x:v>浏览</x:v>
      </x:c>
      <x:c r="G103" s="8" t="n">
        <x:v>15</x:v>
      </x:c>
      <x:c r="H103" s="8" t="n">
        <x:v>68599</x:v>
      </x:c>
      <x:c r="I103" s="2"/>
      <x:c r="J103" s="2"/>
      <x:c r="K103" s="2"/>
      <x:c r="L103" s="2"/>
    </x:row>
    <x:row r="104" ht="22" customHeight="1">
      <x:c r="A104" s="2"/>
      <x:c r="B104" s="20" t="str">
        <x:v>45966877</x:v>
      </x:c>
      <x:c r="C104" s="21" t="d">
        <x:v>2025-12-07T10:00:00.000Z</x:v>
      </x:c>
      <x:c r="D104" s="20" t="str">
        <x:v>377728620</x:v>
      </x:c>
      <x:c r="E104" s="20" t="str">
        <x:v>451</x:v>
      </x:c>
      <x:c r="F104" s="2" t="str">
        <x:v>浏览</x:v>
      </x:c>
      <x:c r="G104" s="8" t="n">
        <x:v>15</x:v>
      </x:c>
      <x:c r="H104" s="8" t="n">
        <x:v>105933</x:v>
      </x:c>
      <x:c r="I104" s="2"/>
      <x:c r="J104" s="2"/>
      <x:c r="K104" s="2"/>
      <x:c r="L104" s="2"/>
    </x:row>
    <x:row r="105" ht="22" customHeight="1">
      <x:c r="A105" s="2"/>
      <x:c r="B105" s="20" t="str">
        <x:v>48480943</x:v>
      </x:c>
      <x:c r="C105" s="21" t="d">
        <x:v>2025-12-02T11:00:00.000Z</x:v>
      </x:c>
      <x:c r="D105" s="20" t="str">
        <x:v>62072733</x:v>
      </x:c>
      <x:c r="E105" s="20" t="str">
        <x:v>14079</x:v>
      </x:c>
      <x:c r="F105" s="2" t="str">
        <x:v>浏览</x:v>
      </x:c>
      <x:c r="G105" s="8" t="n">
        <x:v>15</x:v>
      </x:c>
      <x:c r="H105" s="8" t="n">
        <x:v>375024</x:v>
      </x:c>
      <x:c r="I105" s="2"/>
      <x:c r="J105" s="2"/>
      <x:c r="K105" s="2"/>
      <x:c r="L105" s="2"/>
    </x:row>
    <x:row r="106" ht="22" customHeight="1">
      <x:c r="A106" s="2"/>
      <x:c r="B106" s="20" t="str">
        <x:v>51492142</x:v>
      </x:c>
      <x:c r="C106" s="21" t="d">
        <x:v>2025-12-15T14:00:00.000Z</x:v>
      </x:c>
      <x:c r="D106" s="20" t="str">
        <x:v>324872392</x:v>
      </x:c>
      <x:c r="E106" s="20" t="str">
        <x:v>3472</x:v>
      </x:c>
      <x:c r="F106" s="2" t="str">
        <x:v>浏览</x:v>
      </x:c>
      <x:c r="G106" s="8" t="n">
        <x:v>15</x:v>
      </x:c>
      <x:c r="H106" s="8" t="n">
        <x:v>833883</x:v>
      </x:c>
      <x:c r="I106" s="2"/>
      <x:c r="J106" s="2"/>
      <x:c r="K106" s="2"/>
      <x:c r="L106" s="2"/>
    </x:row>
    <x:row r="107" ht="22" customHeight="1">
      <x:c r="A107" s="2"/>
      <x:c r="B107" s="20" t="str">
        <x:v>52820979</x:v>
      </x:c>
      <x:c r="C107" s="21" t="d">
        <x:v>2025-12-13T00:00:00.000Z</x:v>
      </x:c>
      <x:c r="D107" s="20" t="str">
        <x:v>83298235</x:v>
      </x:c>
      <x:c r="E107" s="20" t="str">
        <x:v>6000</x:v>
      </x:c>
      <x:c r="F107" s="2" t="str">
        <x:v>浏览</x:v>
      </x:c>
      <x:c r="G107" s="8" t="n">
        <x:v>15</x:v>
      </x:c>
      <x:c r="H107" s="8" t="n">
        <x:v>969151</x:v>
      </x:c>
      <x:c r="I107" s="2"/>
      <x:c r="J107" s="2"/>
      <x:c r="K107" s="2"/>
      <x:c r="L107" s="2"/>
    </x:row>
    <x:row r="108" ht="22" customHeight="1">
      <x:c r="A108" s="2"/>
      <x:c r="B108" s="20" t="str">
        <x:v>55548424</x:v>
      </x:c>
      <x:c r="C108" s="21" t="d">
        <x:v>2025-12-03T11:00:00.000Z</x:v>
      </x:c>
      <x:c r="D108" s="20" t="str">
        <x:v>27395578</x:v>
      </x:c>
      <x:c r="E108" s="20" t="str">
        <x:v>10523</x:v>
      </x:c>
      <x:c r="F108" s="2" t="str">
        <x:v>浏览</x:v>
      </x:c>
      <x:c r="G108" s="8" t="n">
        <x:v>15</x:v>
      </x:c>
      <x:c r="H108" s="8" t="n">
        <x:v>1913921</x:v>
      </x:c>
      <x:c r="I108" s="2"/>
      <x:c r="J108" s="2"/>
      <x:c r="K108" s="2"/>
      <x:c r="L108" s="2"/>
    </x:row>
    <x:row r="109" ht="22" customHeight="1">
      <x:c r="A109" s="2"/>
      <x:c r="B109" s="20" t="str">
        <x:v>6336487</x:v>
      </x:c>
      <x:c r="C109" s="21" t="d">
        <x:v>2025-12-03T19:00:00.000Z</x:v>
      </x:c>
      <x:c r="D109" s="20" t="str">
        <x:v>43675602</x:v>
      </x:c>
      <x:c r="E109" s="20" t="str">
        <x:v>7440</x:v>
      </x:c>
      <x:c r="F109" s="2" t="str">
        <x:v>浏览</x:v>
      </x:c>
      <x:c r="G109" s="8" t="n">
        <x:v>15</x:v>
      </x:c>
      <x:c r="H109" s="8" t="n">
        <x:v>298815</x:v>
      </x:c>
      <x:c r="I109" s="2"/>
      <x:c r="J109" s="2"/>
      <x:c r="K109" s="2"/>
      <x:c r="L109" s="2"/>
    </x:row>
    <x:row r="110" ht="22" customHeight="1">
      <x:c r="A110" s="2"/>
      <x:c r="B110" s="20" t="str">
        <x:v>82860631</x:v>
      </x:c>
      <x:c r="C110" s="21" t="d">
        <x:v>2025-11-28T20:00:00.000Z</x:v>
      </x:c>
      <x:c r="D110" s="20" t="str">
        <x:v>253028290</x:v>
      </x:c>
      <x:c r="E110" s="20" t="str">
        <x:v>3942</x:v>
      </x:c>
      <x:c r="F110" s="2" t="str">
        <x:v>浏览</x:v>
      </x:c>
      <x:c r="G110" s="8" t="n">
        <x:v>15</x:v>
      </x:c>
      <x:c r="H110" s="8" t="n">
        <x:v>570743</x:v>
      </x:c>
      <x:c r="I110" s="2"/>
      <x:c r="J110" s="2"/>
      <x:c r="K110" s="2"/>
      <x:c r="L110" s="2"/>
    </x:row>
    <x:row r="111" ht="22" customHeight="1">
      <x:c r="A111" s="2"/>
      <x:c r="B111" s="20" t="str">
        <x:v>93970634</x:v>
      </x:c>
      <x:c r="C111" s="21" t="d">
        <x:v>2025-11-18T13:00:00.000Z</x:v>
      </x:c>
      <x:c r="D111" s="20" t="str">
        <x:v>193255302</x:v>
      </x:c>
      <x:c r="E111" s="20" t="str">
        <x:v>3064</x:v>
      </x:c>
      <x:c r="F111" s="2" t="str">
        <x:v>浏览</x:v>
      </x:c>
      <x:c r="G111" s="8" t="n">
        <x:v>15</x:v>
      </x:c>
      <x:c r="H111" s="8" t="n">
        <x:v>757962</x:v>
      </x:c>
      <x:c r="I111" s="2"/>
      <x:c r="J111" s="2"/>
      <x:c r="K111" s="2"/>
      <x:c r="L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2" customHeight="1">
      <x:c r="A114" s="2"/>
      <x:c r="B114" s="11" t="str">
        <x:v>源记录序号是本次读取的技术定位信息，不代表真实事件发生先后。</x:v>
      </x:c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2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22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2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22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2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</x:sheetData>
  <x:pageMargins left="0.7" right="0.7" top="0.75" bottom="0.75" header="0.3" footer="0.3"/>
  <x:tableParts count="2">
    <x:tablePart xmlns:r="http://schemas.openxmlformats.org/officeDocument/2006/relationships" r:id="Rb9a034b06a5e4cf1"/>
    <x:tablePart xmlns:r="http://schemas.openxmlformats.org/officeDocument/2006/relationships" r:id="R83b9f2f1ea504bae"/>
  </x:tableParts>
</x:worksheet>
</file>